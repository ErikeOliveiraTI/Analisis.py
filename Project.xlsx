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git\"/>
    </mc:Choice>
  </mc:AlternateContent>
  <xr:revisionPtr revIDLastSave="0" documentId="13_ncr:1_{A75C60EB-DA14-4DB2-99A5-FA18EC7BF2D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PA TOURS_TIPS xlsx" sheetId="2" r:id="rId1"/>
    <sheet name="Nov 25" sheetId="3" r:id="rId2"/>
    <sheet name="Folha1" sheetId="1" r:id="rId3"/>
  </sheets>
  <definedNames>
    <definedName name="DadosExternos_1" localSheetId="0" hidden="1">'MAPA TOURS_TIPS xlsx'!$A$1:$E$20</definedName>
    <definedName name="DadosExternos_1" localSheetId="1" hidden="1">'Nov 25'!$A$1:$L$616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" l="1" a="1"/>
  <c r="N4" i="3" l="1"/>
  <c r="N6" i="3" a="1"/>
  <c r="N6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BE089D-FE2F-429B-A2B3-6C74024AB7B5}" keepAlive="1" name="Consulta - MAPA TOURS_TIPS xlsx" description="Ligação à consulta 'MAPA TOURS_TIPS xlsx' no livro." type="5" refreshedVersion="8" background="1" saveData="1">
    <dbPr connection="Provider=Microsoft.Mashup.OleDb.1;Data Source=$Workbook$;Location=&quot;MAPA TOURS_TIPS xlsx&quot;;Extended Properties=&quot;&quot;" command="SELECT * FROM [MAPA TOURS_TIPS xlsx]"/>
  </connection>
  <connection id="2" xr16:uid="{11130466-055C-4B1D-8FA5-50DCD1D4537C}" keepAlive="1" name="Consulta - Nov 25" description="Ligação à consulta 'Nov 25' no livro." type="5" refreshedVersion="8" background="1" saveData="1">
    <dbPr connection="Provider=Microsoft.Mashup.OleDb.1;Data Source=$Workbook$;Location=&quot;Nov 25&quot;;Extended Properties=&quot;&quot;" command="SELECT * FROM [Nov 25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 = xl(%P2%, headers=True)
</code>
    </pythonScript>
    <pythonScript>
      <code xml:space="preserve">xl(%P2%)["Empresa"].describe()
</code>
    </pythonScript>
  </pythonScripts>
</python>
</file>

<file path=xl/sharedStrings.xml><?xml version="1.0" encoding="utf-8"?>
<sst xmlns="http://schemas.openxmlformats.org/spreadsheetml/2006/main" count="598" uniqueCount="176">
  <si>
    <t>Ago.25</t>
  </si>
  <si>
    <t>Column2</t>
  </si>
  <si>
    <t>Ago.25_1</t>
  </si>
  <si>
    <t>Sheet</t>
  </si>
  <si>
    <t>false</t>
  </si>
  <si>
    <t>Set.25</t>
  </si>
  <si>
    <t>[Table]</t>
  </si>
  <si>
    <t>Out.25</t>
  </si>
  <si>
    <t>Nov.25</t>
  </si>
  <si>
    <t>Dez.25</t>
  </si>
  <si>
    <t>Jan.26</t>
  </si>
  <si>
    <t>Fev. 26</t>
  </si>
  <si>
    <t>Mar.26</t>
  </si>
  <si>
    <t>Abr. 26</t>
  </si>
  <si>
    <t>Mai.26</t>
  </si>
  <si>
    <t>_xlnm._FilterDatabase</t>
  </si>
  <si>
    <t>Abr. 26!_xlnm._FilterDatabase</t>
  </si>
  <si>
    <t>DefinedName</t>
  </si>
  <si>
    <t>_xlnm._FilterDatabase1</t>
  </si>
  <si>
    <t>Ago.25!_xlnm._FilterDatabase</t>
  </si>
  <si>
    <t>_xlnm._FilterDatabase2</t>
  </si>
  <si>
    <t>Dez.25!_xlnm._FilterDatabase</t>
  </si>
  <si>
    <t>_xlnm._FilterDatabase3</t>
  </si>
  <si>
    <t>Fev. 26!_xlnm._FilterDatabase</t>
  </si>
  <si>
    <t>_xlnm._FilterDatabase4</t>
  </si>
  <si>
    <t>Jan.26!_xlnm._FilterDatabase</t>
  </si>
  <si>
    <t>_xlnm._FilterDatabase5</t>
  </si>
  <si>
    <t>Mai.26!_xlnm._FilterDatabase</t>
  </si>
  <si>
    <t>_xlnm._FilterDatabase6</t>
  </si>
  <si>
    <t>Mar.26!_xlnm._FilterDatabase</t>
  </si>
  <si>
    <t>_xlnm._FilterDatabase7</t>
  </si>
  <si>
    <t>Nov.25!_xlnm._FilterDatabase</t>
  </si>
  <si>
    <t>_xlnm._FilterDatabase8</t>
  </si>
  <si>
    <t>Out.25!_xlnm._FilterDatabase</t>
  </si>
  <si>
    <t>_xlnm._FilterDatabase9</t>
  </si>
  <si>
    <t>Set.25!_xlnm._FilterDatabase</t>
  </si>
  <si>
    <t>Dia</t>
  </si>
  <si>
    <t>Quarto | Nome</t>
  </si>
  <si>
    <t>Empresa</t>
  </si>
  <si>
    <t>Voucher | Res.</t>
  </si>
  <si>
    <t>Hora</t>
  </si>
  <si>
    <t>Direcções | Observações</t>
  </si>
  <si>
    <t>Nº Pax</t>
  </si>
  <si>
    <t>Valor</t>
  </si>
  <si>
    <t>Comissão</t>
  </si>
  <si>
    <t>Por Quem</t>
  </si>
  <si>
    <t>Pago Hósp?</t>
  </si>
  <si>
    <t>Pago</t>
  </si>
  <si>
    <t>7Roads</t>
  </si>
  <si>
    <t>05h00</t>
  </si>
  <si>
    <t>Hotel - Aero</t>
  </si>
  <si>
    <t>Nicole</t>
  </si>
  <si>
    <t>Sim</t>
  </si>
  <si>
    <t>Não</t>
  </si>
  <si>
    <t>114 / 116</t>
  </si>
  <si>
    <t>12h36</t>
  </si>
  <si>
    <t>Aero - Hotel</t>
  </si>
  <si>
    <t>Helder</t>
  </si>
  <si>
    <t xml:space="preserve">Carla Alpendre </t>
  </si>
  <si>
    <t>Where To</t>
  </si>
  <si>
    <t>08H20</t>
  </si>
  <si>
    <t>Sintra/Cascais</t>
  </si>
  <si>
    <t xml:space="preserve"> Dawn Carpenter</t>
  </si>
  <si>
    <t>Website</t>
  </si>
  <si>
    <t>12h05</t>
  </si>
  <si>
    <t xml:space="preserve">Aero-Hotel British Airways flight 505 </t>
  </si>
  <si>
    <t>-</t>
  </si>
  <si>
    <t>Ricardo</t>
  </si>
  <si>
    <t>05h30</t>
  </si>
  <si>
    <t>Hotel-Aero</t>
  </si>
  <si>
    <t>Francisco</t>
  </si>
  <si>
    <t>09H00</t>
  </si>
  <si>
    <t>07H00</t>
  </si>
  <si>
    <t>Erike</t>
  </si>
  <si>
    <t>10H30</t>
  </si>
  <si>
    <t>603/604</t>
  </si>
  <si>
    <t>Rosalina Oo</t>
  </si>
  <si>
    <t>Vanessa</t>
  </si>
  <si>
    <t xml:space="preserve">Marissa Alonzo-Ejanda </t>
  </si>
  <si>
    <t>Hotel-Aero(Carla)</t>
  </si>
  <si>
    <t>Hotel- Aero</t>
  </si>
  <si>
    <t>Arsélia</t>
  </si>
  <si>
    <t>12h30</t>
  </si>
  <si>
    <t>Hotel-aero</t>
  </si>
  <si>
    <t xml:space="preserve">Erica </t>
  </si>
  <si>
    <t>604/605</t>
  </si>
  <si>
    <t>13h30</t>
  </si>
  <si>
    <t>17h30</t>
  </si>
  <si>
    <t>406/Mariana Ferreira</t>
  </si>
  <si>
    <t>08h20</t>
  </si>
  <si>
    <t xml:space="preserve">Moncarz Avraham-Gezel </t>
  </si>
  <si>
    <t>17h50</t>
  </si>
  <si>
    <t>Aero-Hotel (LY375)</t>
  </si>
  <si>
    <t>_</t>
  </si>
  <si>
    <t>CitySightSeeing</t>
  </si>
  <si>
    <t>Pack Essencial</t>
  </si>
  <si>
    <t>Pack iconic</t>
  </si>
  <si>
    <t>06h00</t>
  </si>
  <si>
    <t>09h00</t>
  </si>
  <si>
    <t>08h00</t>
  </si>
  <si>
    <t>Marguife Layos</t>
  </si>
  <si>
    <t>15h00</t>
  </si>
  <si>
    <t>Aero-Hotel (TP 1929)</t>
  </si>
  <si>
    <t>André</t>
  </si>
  <si>
    <t>04h30</t>
  </si>
  <si>
    <t>07h30</t>
  </si>
  <si>
    <t>414/415</t>
  </si>
  <si>
    <t>11h20</t>
  </si>
  <si>
    <t xml:space="preserve">101_102 </t>
  </si>
  <si>
    <t>14h45</t>
  </si>
  <si>
    <t xml:space="preserve">Ralf Zaich </t>
  </si>
  <si>
    <t>?</t>
  </si>
  <si>
    <t>07H45</t>
  </si>
  <si>
    <t>06H30</t>
  </si>
  <si>
    <t>hotel-aero</t>
  </si>
  <si>
    <t>Alfred Miller</t>
  </si>
  <si>
    <t>14H20</t>
  </si>
  <si>
    <t>Aero-Hotel (TP861)</t>
  </si>
  <si>
    <t>16h00</t>
  </si>
  <si>
    <t>Maycon</t>
  </si>
  <si>
    <t>Frederick Randolph</t>
  </si>
  <si>
    <t>07h00</t>
  </si>
  <si>
    <t>Diogo</t>
  </si>
  <si>
    <t>12h00</t>
  </si>
  <si>
    <t>07H30</t>
  </si>
  <si>
    <t>08H30</t>
  </si>
  <si>
    <t>Haris Raonic</t>
  </si>
  <si>
    <t>15H10</t>
  </si>
  <si>
    <t>Aero - Hotel (Os8151)</t>
  </si>
  <si>
    <t>16h30</t>
  </si>
  <si>
    <t>6h00</t>
  </si>
  <si>
    <t>8h20</t>
  </si>
  <si>
    <t>08h30</t>
  </si>
  <si>
    <t>Marla Sparks</t>
  </si>
  <si>
    <t>11h30</t>
  </si>
  <si>
    <t>Aero (Rent-a-Car)-Hotel</t>
  </si>
  <si>
    <t>Peter Curtin</t>
  </si>
  <si>
    <t>07h45</t>
  </si>
  <si>
    <t>Aero-Hotel (TS680)</t>
  </si>
  <si>
    <t xml:space="preserve">Timothy Mooney </t>
  </si>
  <si>
    <t>Aki Toivonen</t>
  </si>
  <si>
    <t>15h25</t>
  </si>
  <si>
    <t>Aero-Hotel (AY1739)</t>
  </si>
  <si>
    <t>Alicia Goncalves</t>
  </si>
  <si>
    <t>Group Vallaster Steuerberatung</t>
  </si>
  <si>
    <t>19H55</t>
  </si>
  <si>
    <t>Aero - Hotel (TP933)</t>
  </si>
  <si>
    <t>Tonya Scardina</t>
  </si>
  <si>
    <t>09h05</t>
  </si>
  <si>
    <t>Aero-Hotel (TP244)</t>
  </si>
  <si>
    <t>Sally Lopez</t>
  </si>
  <si>
    <t>Liliane Bruggman</t>
  </si>
  <si>
    <t>Outra</t>
  </si>
  <si>
    <t>09h3</t>
  </si>
  <si>
    <t>Tuktuk Tejo (Lisbon by the River)</t>
  </si>
  <si>
    <t>Aida Lucia Capote</t>
  </si>
  <si>
    <t>Aero-Hotel</t>
  </si>
  <si>
    <t>08h45</t>
  </si>
  <si>
    <t xml:space="preserve">Greta Caris </t>
  </si>
  <si>
    <t>14h20</t>
  </si>
  <si>
    <t>Aero-Hotel (FR1300)</t>
  </si>
  <si>
    <t>06h30</t>
  </si>
  <si>
    <t xml:space="preserve">António Pitta </t>
  </si>
  <si>
    <t>22h50</t>
  </si>
  <si>
    <t>Aero-Hotel (LH1172)</t>
  </si>
  <si>
    <t>9h</t>
  </si>
  <si>
    <t>Hotel- Gare do Oriente</t>
  </si>
  <si>
    <t>08h15</t>
  </si>
  <si>
    <t>Hotel -Fundação Champalimaud (8,8km)</t>
  </si>
  <si>
    <t>2+1</t>
  </si>
  <si>
    <t>Yael Cohen</t>
  </si>
  <si>
    <t>17h20</t>
  </si>
  <si>
    <t>Aero - Hotel (IZ253)</t>
  </si>
  <si>
    <t>Donald Bush</t>
  </si>
  <si>
    <t xml:space="preserve">Aero - Hotel </t>
  </si>
  <si>
    <t>5h20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</si>
</sst>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4F5357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SupportingPropertyBagStructure" Target="richData/rdsupportingpropertybagstructure.xml"/><Relationship Id="rId17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Array" Target="richData/rdarray.xml"/><Relationship Id="rId5" Type="http://schemas.openxmlformats.org/officeDocument/2006/relationships/connections" Target="connections.xml"/><Relationship Id="rId15" Type="http://schemas.openxmlformats.org/officeDocument/2006/relationships/calcChain" Target="calcChain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microsoft.com/office/2017/06/relationships/rdRichValueTypes" Target="richData/rdRichValueTyp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AD5F74B-E0E6-49F8-BA71-5D25AF0B7845}" autoFormatId="16" applyNumberFormats="0" applyBorderFormats="0" applyFontFormats="0" applyPatternFormats="0" applyAlignmentFormats="0" applyWidthHeightFormats="0">
  <queryTableRefresh nextId="6">
    <queryTableFields count="5">
      <queryTableField id="1" name="Ago.25" tableColumnId="1"/>
      <queryTableField id="2" name="Column2" tableColumnId="2"/>
      <queryTableField id="3" name="Ago.25_1" tableColumnId="3"/>
      <queryTableField id="4" name="Sheet" tableColumnId="4"/>
      <queryTableField id="5" name="fals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D43EF379-A80F-440C-97C7-12F384EB93F8}" autoFormatId="16" applyNumberFormats="0" applyBorderFormats="0" applyFontFormats="0" applyPatternFormats="0" applyAlignmentFormats="0" applyWidthHeightFormats="0">
  <queryTableRefresh nextId="13">
    <queryTableFields count="12">
      <queryTableField id="1" name="Dia" tableColumnId="1"/>
      <queryTableField id="2" name="Quarto | Nome" tableColumnId="2"/>
      <queryTableField id="3" name="Empresa" tableColumnId="3"/>
      <queryTableField id="4" name="Voucher | Res." tableColumnId="4"/>
      <queryTableField id="5" name="Hora" tableColumnId="5"/>
      <queryTableField id="6" name="Direcções | Observações" tableColumnId="6"/>
      <queryTableField id="7" name="Nº Pax" tableColumnId="7"/>
      <queryTableField id="8" name="Valor" tableColumnId="8"/>
      <queryTableField id="9" name="Comissão" tableColumnId="9"/>
      <queryTableField id="10" name="Por Quem" tableColumnId="10"/>
      <queryTableField id="11" name="Pago Hósp?" tableColumnId="11"/>
      <queryTableField id="12" name="Pago" tableColumnId="12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12">
    <v t="s"/>
    <v t="s">Quarto | Nome</v>
    <v t="s">Empresa</v>
    <v t="s">Voucher | Res.</v>
    <v t="s">Hora</v>
    <v t="s">Direcções | Observações</v>
    <v t="s">...</v>
    <v t="s">Valor</v>
    <v t="s">Comissão</v>
    <v t="s">Por Quem</v>
    <v t="s">Pago Hósp?</v>
    <v t="s">Pago</v>
    <v>0</v>
    <v>510</v>
    <v t="s">7Roads</v>
    <v>2581</v>
    <v t="s">05h00</v>
    <v t="s">Hotel - Aero</v>
    <v t="s">...</v>
    <v>25</v>
    <v>8</v>
    <v t="s">Nicole</v>
    <v t="s">Sim</v>
    <v t="s">Não</v>
    <v>1</v>
    <v t="s">114 / 116</v>
    <v t="s">7Roads</v>
    <v>2583</v>
    <v t="s">12h36</v>
    <v t="s">Aero - Hotel</v>
    <v t="s">...</v>
    <v>45</v>
    <v>12</v>
    <v t="s">Helder</v>
    <v t="s">Sim</v>
    <v t="s">Não</v>
    <v>2</v>
    <v t="s" xml:space="preserve">Carla Alpendre </v>
    <v t="s">Where To</v>
    <v>3261</v>
    <v t="s">08H20</v>
    <v t="s">Sintra/Cascais</v>
    <v t="s">...</v>
    <v>69</v>
    <v>20.7</v>
    <v t="s">Nicole</v>
    <v t="s">Sim</v>
    <v t="s">Não</v>
    <v>3</v>
    <v t="s" xml:space="preserve"> Dawn Carpenter</v>
    <v t="s">Website</v>
    <v>175137</v>
    <v t="s">12h05</v>
    <v t="s" xml:space="preserve">Aero-Hotel British Airways flight 505 </v>
    <v t="s">...</v>
    <v>39</v>
    <v t="s">-</v>
    <v t="s">Ricardo</v>
    <v t="s">Sim</v>
    <v t="s">Não</v>
    <v>4</v>
    <v>605</v>
    <v t="s">7Roads</v>
    <v>2582</v>
    <v t="s">05h30</v>
    <v t="s">Hotel-Aero</v>
    <v t="s">...</v>
    <v>25</v>
    <v>8</v>
    <v t="s">Francisco</v>
    <v t="s">Sim</v>
    <v t="s">Não</v>
    <v t="s">...</v>
    <v t="s">...</v>
    <v t="s">...</v>
    <v t="s">...</v>
    <v t="s">...</v>
    <v t="s">...</v>
    <v t="s">...</v>
    <v t="s">...</v>
    <v t="s">...</v>
    <v t="s">...</v>
    <v t="s">...</v>
    <v t="s">...</v>
    <v>69</v>
    <v>330</v>
    <v t="s">7Roads</v>
    <v>2667</v>
    <v t="s">06h30</v>
    <v t="s">Hotel-Aero</v>
    <v t="s">...</v>
    <v>35</v>
    <v>10</v>
    <v t="s" xml:space="preserve">Erica </v>
    <v t="s">Sim</v>
    <v t="s">Não</v>
    <v>70</v>
    <v t="s">Yael Cohen</v>
    <v t="s">Website</v>
    <v>176387</v>
    <v t="s">17h20</v>
    <v t="s">Aero - Hotel (IZ253)</v>
    <v t="s">...</v>
    <v>50</v>
    <v t="s">-</v>
    <v t="s" xml:space="preserve">Erica </v>
    <v t="s">Não</v>
    <v t="s">Não</v>
    <v>71</v>
    <v t="s">Yael Cohen</v>
    <v t="s">Website</v>
    <v>176387</v>
    <v t="s">?</v>
    <v t="s">Hotel - Aero</v>
    <v t="s">...</v>
    <v>39</v>
    <v t="s">-</v>
    <v t="s" xml:space="preserve">Erica </v>
    <v t="s">Não</v>
    <v t="s">Não</v>
    <v>72</v>
    <v t="s">Donald Bush</v>
    <v t="s">Website</v>
    <v>175992</v>
    <v t="s">?</v>
    <v t="s" xml:space="preserve">Aero - Hotel </v>
    <v t="s">...</v>
    <v>39</v>
    <v t="s">-</v>
    <v t="s" xml:space="preserve">Erica </v>
    <v t="s">Não</v>
    <v t="s">Não</v>
    <v>73</v>
    <v>526</v>
    <v t="s">7Roads</v>
    <v>2670</v>
    <v t="s">5h20</v>
    <v t="s">Aero-Hotel</v>
    <v t="s">...</v>
    <v>25</v>
    <v>8</v>
    <v t="s">Erike</v>
    <v t="s">Sim</v>
    <v t="s">Não</v>
  </a>
</arrayData>
</file>

<file path=xl/richData/rdrichvalue.xml><?xml version="1.0" encoding="utf-8"?>
<rvData xmlns="http://schemas.microsoft.com/office/spreadsheetml/2017/richdata" count="3">
  <rv s="0">
    <v>0</v>
  </rv>
  <rv s="1">
    <v>DataFrame</v>
    <v>1</v>
    <v>0</v>
  </rv>
  <rv s="2">
    <v>&lt;class 'pandas.core.frame.DataFrame'&gt;</v>
    <v>DataFrame</v>
    <v xml:space="preserve">      Quarto | Nome   Empresa Voucher | Res.   Hora  \
0               510    7Roads           2581  05h00   
1         114 / 116    7Roads           2583  12h36   
2   Carla Alpendre   Where To           3261  08H20   
3    Dawn Carpenter   Website   ...</v>
    <v>1</v>
    <v>2</v>
  </rv>
</rvData>
</file>

<file path=xl/richData/rdrichvaluestructure.xml><?xml version="1.0" encoding="utf-8"?>
<rvStructures xmlns="http://schemas.microsoft.com/office/spreadsheetml/2017/richdata" count="3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74</v>
      <v>11</v>
      <v>DataFrame</v>
      <v>arrayPreview</v>
      <v>1</v>
    </spb>
    <spb s="1">
      <v>0</v>
    </spb>
    <spb s="2">
      <v>https://www.anaconda.com/excel</v>
      <v>https://res.cdn.office.net/officepysvc/prod-service/anacondalogo.png</v>
      <v>Python fornecido por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B07312-92DA-4426-9169-2F8B077952AB}" name="MAPA_TOURS_TIPS_xlsx" displayName="MAPA_TOURS_TIPS_xlsx" ref="A1:E20" tableType="queryTable" totalsRowShown="0">
  <autoFilter ref="A1:E20" xr:uid="{ACB07312-92DA-4426-9169-2F8B077952AB}"/>
  <tableColumns count="5">
    <tableColumn id="1" xr3:uid="{F2C07602-E02F-4FA4-810B-8AA9AE35E3BE}" uniqueName="1" name="Ago.25" queryTableFieldId="1" dataDxfId="15"/>
    <tableColumn id="2" xr3:uid="{09A3933D-2CF9-468F-A711-3246615AC930}" uniqueName="2" name="Column2" queryTableFieldId="2"/>
    <tableColumn id="3" xr3:uid="{5952DE3A-32AC-4A72-8894-1739A2F4DF12}" uniqueName="3" name="Ago.25_1" queryTableFieldId="3" dataDxfId="14"/>
    <tableColumn id="4" xr3:uid="{65CB3F12-B0E4-470E-B71A-1D996C3798FB}" uniqueName="4" name="Sheet" queryTableFieldId="4" dataDxfId="13"/>
    <tableColumn id="5" xr3:uid="{3484AFAA-BBD7-421E-9731-70C70B3BDA0E}" uniqueName="5" name="fals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507F4B-E8FA-4A22-B270-B7A0DADDF235}" name="Nov_25" displayName="Nov_25" ref="A1:L616" tableType="queryTable" totalsRowShown="0" dataDxfId="12">
  <tableColumns count="12">
    <tableColumn id="1" xr3:uid="{D22D051D-B1B3-40EB-B94E-8F0E82A26099}" uniqueName="1" name="Dia" queryTableFieldId="1" dataDxfId="11"/>
    <tableColumn id="2" xr3:uid="{B51970B3-81F0-48A0-BB5D-5ACBDF74A23F}" uniqueName="2" name="Quarto | Nome" queryTableFieldId="2" dataDxfId="10"/>
    <tableColumn id="3" xr3:uid="{5BF69478-21D4-48D5-82E4-0567152F855B}" uniqueName="3" name="Empresa" queryTableFieldId="3" dataDxfId="9"/>
    <tableColumn id="4" xr3:uid="{92F4ED0F-D26B-49D2-A377-FF8578FB7D7A}" uniqueName="4" name="Voucher | Res." queryTableFieldId="4" dataDxfId="8"/>
    <tableColumn id="5" xr3:uid="{09E3EC4D-86C4-429E-B805-9031C1BB1578}" uniqueName="5" name="Hora" queryTableFieldId="5" dataDxfId="7"/>
    <tableColumn id="6" xr3:uid="{25F0B838-013F-4415-AE33-D1B759428F3E}" uniqueName="6" name="Direcções | Observações" queryTableFieldId="6" dataDxfId="6"/>
    <tableColumn id="7" xr3:uid="{D6089EC1-9914-4E63-BA39-C81A40AA1DBE}" uniqueName="7" name="Nº Pax" queryTableFieldId="7" dataDxfId="5"/>
    <tableColumn id="8" xr3:uid="{5A951706-90F3-42E4-9E1A-469C6C748D36}" uniqueName="8" name="Valor" queryTableFieldId="8" dataDxfId="4"/>
    <tableColumn id="9" xr3:uid="{49130A4E-F55D-4751-A09A-7B8AEC37F0AB}" uniqueName="9" name="Comissão" queryTableFieldId="9" dataDxfId="3"/>
    <tableColumn id="10" xr3:uid="{9DF7E4CE-484A-480D-A066-84A77F882E49}" uniqueName="10" name="Por Quem" queryTableFieldId="10" dataDxfId="2"/>
    <tableColumn id="11" xr3:uid="{5EE852B2-B64B-40D7-8593-C6AF113F170C}" uniqueName="11" name="Pago Hósp?" queryTableFieldId="11" dataDxfId="1"/>
    <tableColumn id="12" xr3:uid="{DE3C1B2C-3278-4CEF-805D-61A2BF388B0F}" uniqueName="12" name="Pago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5B92-A080-442C-9F96-3140FC5A5F8D}">
  <dimension ref="A1:E20"/>
  <sheetViews>
    <sheetView workbookViewId="0"/>
  </sheetViews>
  <sheetFormatPr defaultRowHeight="15" x14ac:dyDescent="0.25"/>
  <cols>
    <col min="1" max="1" width="22.28515625" bestFit="1" customWidth="1"/>
    <col min="2" max="2" width="11.140625" bestFit="1" customWidth="1"/>
    <col min="3" max="3" width="28.28515625" bestFit="1" customWidth="1"/>
    <col min="4" max="4" width="13.5703125" bestFit="1" customWidth="1"/>
    <col min="5" max="5" width="12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5</v>
      </c>
      <c r="D2" t="s">
        <v>3</v>
      </c>
      <c r="E2" t="b">
        <v>0</v>
      </c>
    </row>
    <row r="3" spans="1:5" x14ac:dyDescent="0.25">
      <c r="A3" t="s">
        <v>7</v>
      </c>
      <c r="B3" t="s">
        <v>6</v>
      </c>
      <c r="C3" t="s">
        <v>7</v>
      </c>
      <c r="D3" t="s">
        <v>3</v>
      </c>
      <c r="E3" t="b">
        <v>0</v>
      </c>
    </row>
    <row r="4" spans="1:5" x14ac:dyDescent="0.25">
      <c r="A4" t="s">
        <v>8</v>
      </c>
      <c r="B4" t="s">
        <v>6</v>
      </c>
      <c r="C4" t="s">
        <v>8</v>
      </c>
      <c r="D4" t="s">
        <v>3</v>
      </c>
      <c r="E4" t="b">
        <v>0</v>
      </c>
    </row>
    <row r="5" spans="1:5" x14ac:dyDescent="0.25">
      <c r="A5" t="s">
        <v>9</v>
      </c>
      <c r="B5" t="s">
        <v>6</v>
      </c>
      <c r="C5" t="s">
        <v>9</v>
      </c>
      <c r="D5" t="s">
        <v>3</v>
      </c>
      <c r="E5" t="b">
        <v>0</v>
      </c>
    </row>
    <row r="6" spans="1:5" x14ac:dyDescent="0.25">
      <c r="A6" t="s">
        <v>10</v>
      </c>
      <c r="B6" t="s">
        <v>6</v>
      </c>
      <c r="C6" t="s">
        <v>10</v>
      </c>
      <c r="D6" t="s">
        <v>3</v>
      </c>
      <c r="E6" t="b">
        <v>0</v>
      </c>
    </row>
    <row r="7" spans="1:5" x14ac:dyDescent="0.25">
      <c r="A7" t="s">
        <v>11</v>
      </c>
      <c r="B7" t="s">
        <v>6</v>
      </c>
      <c r="C7" t="s">
        <v>11</v>
      </c>
      <c r="D7" t="s">
        <v>3</v>
      </c>
      <c r="E7" t="b">
        <v>0</v>
      </c>
    </row>
    <row r="8" spans="1:5" x14ac:dyDescent="0.25">
      <c r="A8" t="s">
        <v>12</v>
      </c>
      <c r="B8" t="s">
        <v>6</v>
      </c>
      <c r="C8" t="s">
        <v>12</v>
      </c>
      <c r="D8" t="s">
        <v>3</v>
      </c>
      <c r="E8" t="b">
        <v>0</v>
      </c>
    </row>
    <row r="9" spans="1:5" x14ac:dyDescent="0.25">
      <c r="A9" t="s">
        <v>13</v>
      </c>
      <c r="B9" t="s">
        <v>6</v>
      </c>
      <c r="C9" t="s">
        <v>13</v>
      </c>
      <c r="D9" t="s">
        <v>3</v>
      </c>
      <c r="E9" t="b">
        <v>0</v>
      </c>
    </row>
    <row r="10" spans="1:5" x14ac:dyDescent="0.25">
      <c r="A10" t="s">
        <v>14</v>
      </c>
      <c r="B10" t="s">
        <v>6</v>
      </c>
      <c r="C10" t="s">
        <v>14</v>
      </c>
      <c r="D10" t="s">
        <v>3</v>
      </c>
      <c r="E10" t="b">
        <v>0</v>
      </c>
    </row>
    <row r="11" spans="1:5" x14ac:dyDescent="0.25">
      <c r="A11" t="s">
        <v>15</v>
      </c>
      <c r="B11" t="s">
        <v>6</v>
      </c>
      <c r="C11" t="s">
        <v>16</v>
      </c>
      <c r="D11" t="s">
        <v>17</v>
      </c>
      <c r="E11" t="b">
        <v>1</v>
      </c>
    </row>
    <row r="12" spans="1:5" x14ac:dyDescent="0.25">
      <c r="A12" t="s">
        <v>18</v>
      </c>
      <c r="B12" t="s">
        <v>6</v>
      </c>
      <c r="C12" t="s">
        <v>19</v>
      </c>
      <c r="D12" t="s">
        <v>17</v>
      </c>
      <c r="E12" t="b">
        <v>1</v>
      </c>
    </row>
    <row r="13" spans="1:5" x14ac:dyDescent="0.25">
      <c r="A13" t="s">
        <v>20</v>
      </c>
      <c r="B13" t="s">
        <v>6</v>
      </c>
      <c r="C13" t="s">
        <v>21</v>
      </c>
      <c r="D13" t="s">
        <v>17</v>
      </c>
      <c r="E13" t="b">
        <v>1</v>
      </c>
    </row>
    <row r="14" spans="1:5" x14ac:dyDescent="0.25">
      <c r="A14" t="s">
        <v>22</v>
      </c>
      <c r="B14" t="s">
        <v>6</v>
      </c>
      <c r="C14" t="s">
        <v>23</v>
      </c>
      <c r="D14" t="s">
        <v>17</v>
      </c>
      <c r="E14" t="b">
        <v>1</v>
      </c>
    </row>
    <row r="15" spans="1:5" x14ac:dyDescent="0.25">
      <c r="A15" t="s">
        <v>24</v>
      </c>
      <c r="B15" t="s">
        <v>6</v>
      </c>
      <c r="C15" t="s">
        <v>25</v>
      </c>
      <c r="D15" t="s">
        <v>17</v>
      </c>
      <c r="E15" t="b">
        <v>1</v>
      </c>
    </row>
    <row r="16" spans="1:5" x14ac:dyDescent="0.25">
      <c r="A16" t="s">
        <v>26</v>
      </c>
      <c r="B16" t="s">
        <v>6</v>
      </c>
      <c r="C16" t="s">
        <v>27</v>
      </c>
      <c r="D16" t="s">
        <v>17</v>
      </c>
      <c r="E16" t="b">
        <v>1</v>
      </c>
    </row>
    <row r="17" spans="1:5" x14ac:dyDescent="0.25">
      <c r="A17" t="s">
        <v>28</v>
      </c>
      <c r="B17" t="s">
        <v>6</v>
      </c>
      <c r="C17" t="s">
        <v>29</v>
      </c>
      <c r="D17" t="s">
        <v>17</v>
      </c>
      <c r="E17" t="b">
        <v>1</v>
      </c>
    </row>
    <row r="18" spans="1:5" x14ac:dyDescent="0.25">
      <c r="A18" t="s">
        <v>30</v>
      </c>
      <c r="B18" t="s">
        <v>6</v>
      </c>
      <c r="C18" t="s">
        <v>31</v>
      </c>
      <c r="D18" t="s">
        <v>17</v>
      </c>
      <c r="E18" t="b">
        <v>1</v>
      </c>
    </row>
    <row r="19" spans="1:5" x14ac:dyDescent="0.25">
      <c r="A19" t="s">
        <v>32</v>
      </c>
      <c r="B19" t="s">
        <v>6</v>
      </c>
      <c r="C19" t="s">
        <v>33</v>
      </c>
      <c r="D19" t="s">
        <v>17</v>
      </c>
      <c r="E19" t="b">
        <v>1</v>
      </c>
    </row>
    <row r="20" spans="1:5" x14ac:dyDescent="0.25">
      <c r="A20" t="s">
        <v>34</v>
      </c>
      <c r="B20" t="s">
        <v>6</v>
      </c>
      <c r="C20" t="s">
        <v>35</v>
      </c>
      <c r="D20" t="s">
        <v>17</v>
      </c>
      <c r="E20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D61E-DCAC-4A55-836E-6704C0FDD67E}">
  <dimension ref="A1:O616"/>
  <sheetViews>
    <sheetView tabSelected="1" workbookViewId="0">
      <selection activeCell="D22" sqref="D22"/>
    </sheetView>
  </sheetViews>
  <sheetFormatPr defaultRowHeight="15" x14ac:dyDescent="0.25"/>
  <cols>
    <col min="1" max="1" width="6.140625" bestFit="1" customWidth="1"/>
    <col min="2" max="2" width="29.7109375" bestFit="1" customWidth="1"/>
    <col min="3" max="3" width="15" bestFit="1" customWidth="1"/>
    <col min="4" max="4" width="16.42578125" bestFit="1" customWidth="1"/>
    <col min="5" max="5" width="7.42578125" bestFit="1" customWidth="1"/>
    <col min="6" max="6" width="37.140625" bestFit="1" customWidth="1"/>
    <col min="7" max="7" width="9.28515625" bestFit="1" customWidth="1"/>
    <col min="8" max="8" width="8" bestFit="1" customWidth="1"/>
    <col min="9" max="9" width="11.7109375" bestFit="1" customWidth="1"/>
    <col min="10" max="10" width="12.140625" bestFit="1" customWidth="1"/>
    <col min="11" max="11" width="13.42578125" bestFit="1" customWidth="1"/>
    <col min="12" max="12" width="7.5703125" bestFit="1" customWidth="1"/>
    <col min="14" max="14" width="14" bestFit="1" customWidth="1"/>
  </cols>
  <sheetData>
    <row r="1" spans="1:1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</row>
    <row r="2" spans="1:15" x14ac:dyDescent="0.25">
      <c r="A2" s="2">
        <v>1</v>
      </c>
      <c r="B2" s="2">
        <v>510</v>
      </c>
      <c r="C2" s="2" t="s">
        <v>48</v>
      </c>
      <c r="D2" s="2">
        <v>2581</v>
      </c>
      <c r="E2" s="2" t="s">
        <v>49</v>
      </c>
      <c r="F2" s="2" t="s">
        <v>50</v>
      </c>
      <c r="G2" s="2">
        <v>2</v>
      </c>
      <c r="H2" s="2">
        <v>25</v>
      </c>
      <c r="I2" s="2">
        <v>8</v>
      </c>
      <c r="J2" s="2" t="s">
        <v>51</v>
      </c>
      <c r="K2" s="2" t="s">
        <v>52</v>
      </c>
      <c r="L2" s="2" t="s">
        <v>53</v>
      </c>
      <c r="M2" s="2"/>
    </row>
    <row r="3" spans="1:15" x14ac:dyDescent="0.25">
      <c r="A3" s="2">
        <v>1</v>
      </c>
      <c r="B3" s="2" t="s">
        <v>54</v>
      </c>
      <c r="C3" s="2" t="s">
        <v>48</v>
      </c>
      <c r="D3" s="2">
        <v>2583</v>
      </c>
      <c r="E3" s="2" t="s">
        <v>55</v>
      </c>
      <c r="F3" s="2" t="s">
        <v>56</v>
      </c>
      <c r="G3" s="2">
        <v>4</v>
      </c>
      <c r="H3" s="2">
        <v>45</v>
      </c>
      <c r="I3" s="2">
        <v>12</v>
      </c>
      <c r="J3" s="2" t="s">
        <v>57</v>
      </c>
      <c r="K3" s="2" t="s">
        <v>52</v>
      </c>
      <c r="L3" s="2" t="s">
        <v>53</v>
      </c>
      <c r="M3" s="2"/>
    </row>
    <row r="4" spans="1:15" x14ac:dyDescent="0.25">
      <c r="A4" s="2">
        <v>1</v>
      </c>
      <c r="B4" s="2" t="s">
        <v>58</v>
      </c>
      <c r="C4" s="2" t="s">
        <v>59</v>
      </c>
      <c r="D4" s="2">
        <v>3261</v>
      </c>
      <c r="E4" s="2" t="s">
        <v>60</v>
      </c>
      <c r="F4" s="2" t="s">
        <v>61</v>
      </c>
      <c r="G4" s="2">
        <v>1</v>
      </c>
      <c r="H4" s="2">
        <v>69</v>
      </c>
      <c r="I4" s="2">
        <v>20.7</v>
      </c>
      <c r="J4" s="2" t="s">
        <v>51</v>
      </c>
      <c r="K4" s="2" t="s">
        <v>52</v>
      </c>
      <c r="L4" s="2" t="s">
        <v>53</v>
      </c>
      <c r="M4" s="2"/>
      <c r="N4" t="e" cm="1" vm="1">
        <f t="array" ref="N4">_xlfn._xlws.PY(0,1,B1:L75)</f>
        <v>#VALUE!</v>
      </c>
    </row>
    <row r="5" spans="1:15" x14ac:dyDescent="0.25">
      <c r="A5" s="2">
        <v>1</v>
      </c>
      <c r="B5" s="2" t="s">
        <v>62</v>
      </c>
      <c r="C5" s="2" t="s">
        <v>63</v>
      </c>
      <c r="D5" s="2">
        <v>175137</v>
      </c>
      <c r="E5" s="2" t="s">
        <v>64</v>
      </c>
      <c r="F5" s="2" t="s">
        <v>65</v>
      </c>
      <c r="G5" s="2">
        <v>1</v>
      </c>
      <c r="H5" s="2">
        <v>39</v>
      </c>
      <c r="I5" s="2" t="s">
        <v>66</v>
      </c>
      <c r="J5" s="2" t="s">
        <v>67</v>
      </c>
      <c r="K5" s="2" t="s">
        <v>52</v>
      </c>
      <c r="L5" s="2" t="s">
        <v>53</v>
      </c>
      <c r="M5" s="2"/>
    </row>
    <row r="6" spans="1:15" x14ac:dyDescent="0.25">
      <c r="A6" s="2">
        <v>2</v>
      </c>
      <c r="B6" s="2">
        <v>605</v>
      </c>
      <c r="C6" s="2" t="s">
        <v>48</v>
      </c>
      <c r="D6" s="2">
        <v>2582</v>
      </c>
      <c r="E6" s="2" t="s">
        <v>68</v>
      </c>
      <c r="F6" s="2" t="s">
        <v>69</v>
      </c>
      <c r="G6" s="2">
        <v>2</v>
      </c>
      <c r="H6" s="2">
        <v>25</v>
      </c>
      <c r="I6" s="2">
        <v>8</v>
      </c>
      <c r="J6" s="2" t="s">
        <v>70</v>
      </c>
      <c r="K6" s="2" t="s">
        <v>52</v>
      </c>
      <c r="L6" s="2" t="s">
        <v>53</v>
      </c>
      <c r="M6" s="2"/>
      <c r="N6" t="str" cm="1">
        <f t="array" ref="N6:O10">_xlfn._xlws.PY(1,0,N4)</f>
        <v/>
      </c>
      <c r="O6" t="str">
        <v>Empresa</v>
      </c>
    </row>
    <row r="7" spans="1:15" x14ac:dyDescent="0.25">
      <c r="A7" s="2">
        <v>2</v>
      </c>
      <c r="B7" s="2">
        <v>502</v>
      </c>
      <c r="C7" s="2" t="s">
        <v>48</v>
      </c>
      <c r="D7" s="2">
        <v>2584</v>
      </c>
      <c r="E7" s="2" t="s">
        <v>71</v>
      </c>
      <c r="F7" s="2" t="s">
        <v>50</v>
      </c>
      <c r="G7" s="2">
        <v>2</v>
      </c>
      <c r="H7" s="2">
        <v>25</v>
      </c>
      <c r="I7" s="2">
        <v>8</v>
      </c>
      <c r="J7" s="2" t="s">
        <v>57</v>
      </c>
      <c r="K7" s="2" t="s">
        <v>52</v>
      </c>
      <c r="L7" s="2" t="s">
        <v>53</v>
      </c>
      <c r="M7" s="2"/>
      <c r="N7" t="str">
        <v>count</v>
      </c>
      <c r="O7">
        <v>74</v>
      </c>
    </row>
    <row r="8" spans="1:15" x14ac:dyDescent="0.25">
      <c r="A8" s="2">
        <v>2</v>
      </c>
      <c r="B8" s="2">
        <v>312</v>
      </c>
      <c r="C8" s="2" t="s">
        <v>48</v>
      </c>
      <c r="D8" s="2">
        <v>2585</v>
      </c>
      <c r="E8" s="2" t="s">
        <v>72</v>
      </c>
      <c r="F8" s="2" t="s">
        <v>50</v>
      </c>
      <c r="G8" s="2">
        <v>1</v>
      </c>
      <c r="H8" s="2">
        <v>25</v>
      </c>
      <c r="I8" s="2">
        <v>8</v>
      </c>
      <c r="J8" s="2" t="s">
        <v>73</v>
      </c>
      <c r="K8" s="2" t="s">
        <v>52</v>
      </c>
      <c r="L8" s="2" t="s">
        <v>53</v>
      </c>
      <c r="M8" s="2"/>
      <c r="N8" t="str">
        <v>unique</v>
      </c>
      <c r="O8">
        <v>5</v>
      </c>
    </row>
    <row r="9" spans="1:15" x14ac:dyDescent="0.25">
      <c r="A9" s="2">
        <v>2</v>
      </c>
      <c r="B9" s="2">
        <v>321</v>
      </c>
      <c r="C9" s="2" t="s">
        <v>48</v>
      </c>
      <c r="D9" s="2">
        <v>2586</v>
      </c>
      <c r="E9" s="2" t="s">
        <v>74</v>
      </c>
      <c r="F9" s="2" t="s">
        <v>69</v>
      </c>
      <c r="G9" s="2">
        <v>4</v>
      </c>
      <c r="H9" s="2">
        <v>40</v>
      </c>
      <c r="I9" s="2">
        <v>12</v>
      </c>
      <c r="J9" s="2" t="s">
        <v>70</v>
      </c>
      <c r="K9" s="2" t="s">
        <v>52</v>
      </c>
      <c r="L9" s="2" t="s">
        <v>53</v>
      </c>
      <c r="M9" s="2"/>
      <c r="N9" t="str">
        <v>top</v>
      </c>
      <c r="O9" t="str">
        <v>7Roads</v>
      </c>
    </row>
    <row r="10" spans="1:15" x14ac:dyDescent="0.25">
      <c r="A10" s="2">
        <v>2</v>
      </c>
      <c r="B10" s="2" t="s">
        <v>75</v>
      </c>
      <c r="C10" s="2" t="s">
        <v>48</v>
      </c>
      <c r="D10" s="2">
        <v>2587</v>
      </c>
      <c r="E10" s="2" t="s">
        <v>68</v>
      </c>
      <c r="F10" s="2" t="s">
        <v>50</v>
      </c>
      <c r="G10" s="2">
        <v>4</v>
      </c>
      <c r="H10" s="2">
        <v>45</v>
      </c>
      <c r="I10" s="2">
        <v>12</v>
      </c>
      <c r="J10" s="2" t="s">
        <v>73</v>
      </c>
      <c r="K10" s="2" t="s">
        <v>52</v>
      </c>
      <c r="L10" s="2" t="s">
        <v>53</v>
      </c>
      <c r="M10" s="2"/>
      <c r="N10" t="str">
        <v>freq</v>
      </c>
      <c r="O10">
        <v>47</v>
      </c>
    </row>
    <row r="11" spans="1:15" x14ac:dyDescent="0.25">
      <c r="A11" s="2">
        <v>2</v>
      </c>
      <c r="B11" s="2" t="s">
        <v>76</v>
      </c>
      <c r="C11" s="2" t="s">
        <v>63</v>
      </c>
      <c r="D11" s="2">
        <v>172583</v>
      </c>
      <c r="E11" s="2" t="s">
        <v>72</v>
      </c>
      <c r="F11" s="2" t="s">
        <v>69</v>
      </c>
      <c r="G11" s="2">
        <v>1</v>
      </c>
      <c r="H11" s="2">
        <v>22</v>
      </c>
      <c r="I11" s="2" t="s">
        <v>66</v>
      </c>
      <c r="J11" s="2" t="s">
        <v>77</v>
      </c>
      <c r="K11" s="2" t="s">
        <v>52</v>
      </c>
      <c r="L11" s="2" t="s">
        <v>53</v>
      </c>
      <c r="M11" s="2"/>
    </row>
    <row r="12" spans="1:15" x14ac:dyDescent="0.25">
      <c r="A12" s="2">
        <v>2</v>
      </c>
      <c r="B12" s="2" t="s">
        <v>78</v>
      </c>
      <c r="C12" s="2" t="s">
        <v>48</v>
      </c>
      <c r="D12" s="2">
        <v>172591</v>
      </c>
      <c r="E12" s="2" t="s">
        <v>72</v>
      </c>
      <c r="F12" s="2" t="s">
        <v>79</v>
      </c>
      <c r="G12" s="2">
        <v>6</v>
      </c>
      <c r="H12" s="2">
        <v>55</v>
      </c>
      <c r="I12" s="2">
        <v>15</v>
      </c>
      <c r="J12" s="2" t="s">
        <v>57</v>
      </c>
      <c r="K12" s="2" t="s">
        <v>52</v>
      </c>
      <c r="L12" s="2" t="s">
        <v>53</v>
      </c>
      <c r="M12" s="2"/>
    </row>
    <row r="13" spans="1:15" x14ac:dyDescent="0.25">
      <c r="A13" s="2">
        <v>3</v>
      </c>
      <c r="B13" s="2">
        <v>324</v>
      </c>
      <c r="C13" s="2" t="s">
        <v>48</v>
      </c>
      <c r="D13" s="2">
        <v>2588</v>
      </c>
      <c r="E13" s="2" t="s">
        <v>68</v>
      </c>
      <c r="F13" s="2" t="s">
        <v>80</v>
      </c>
      <c r="G13" s="2">
        <v>8</v>
      </c>
      <c r="H13" s="2">
        <v>55</v>
      </c>
      <c r="I13" s="2">
        <v>15</v>
      </c>
      <c r="J13" s="2" t="s">
        <v>81</v>
      </c>
      <c r="K13" s="2" t="s">
        <v>52</v>
      </c>
      <c r="L13" s="2" t="s">
        <v>53</v>
      </c>
      <c r="M13" s="2"/>
    </row>
    <row r="14" spans="1:15" x14ac:dyDescent="0.25">
      <c r="A14" s="2">
        <v>3</v>
      </c>
      <c r="B14" s="2">
        <v>422</v>
      </c>
      <c r="C14" s="2" t="s">
        <v>48</v>
      </c>
      <c r="D14" s="2">
        <v>2589</v>
      </c>
      <c r="E14" s="2" t="s">
        <v>82</v>
      </c>
      <c r="F14" s="2" t="s">
        <v>83</v>
      </c>
      <c r="G14" s="2">
        <v>2</v>
      </c>
      <c r="H14" s="2">
        <v>35</v>
      </c>
      <c r="I14" s="2">
        <v>10</v>
      </c>
      <c r="J14" s="2" t="s">
        <v>81</v>
      </c>
      <c r="K14" s="2" t="s">
        <v>52</v>
      </c>
      <c r="L14" s="2" t="s">
        <v>53</v>
      </c>
      <c r="M14" s="2"/>
    </row>
    <row r="15" spans="1:15" x14ac:dyDescent="0.25">
      <c r="A15" s="2">
        <v>3</v>
      </c>
      <c r="B15" s="2">
        <v>412</v>
      </c>
      <c r="C15" s="2" t="s">
        <v>48</v>
      </c>
      <c r="D15" s="2">
        <v>2590</v>
      </c>
      <c r="E15" s="2" t="s">
        <v>82</v>
      </c>
      <c r="F15" s="2" t="s">
        <v>69</v>
      </c>
      <c r="G15" s="2">
        <v>1</v>
      </c>
      <c r="H15" s="2">
        <v>25</v>
      </c>
      <c r="I15" s="2">
        <v>8</v>
      </c>
      <c r="J15" s="2" t="s">
        <v>84</v>
      </c>
      <c r="K15" s="2" t="s">
        <v>52</v>
      </c>
      <c r="L15" s="2" t="s">
        <v>53</v>
      </c>
      <c r="M15" s="2"/>
    </row>
    <row r="16" spans="1:15" x14ac:dyDescent="0.25">
      <c r="A16" s="2">
        <v>3</v>
      </c>
      <c r="B16" s="2" t="s">
        <v>85</v>
      </c>
      <c r="C16" s="2" t="s">
        <v>48</v>
      </c>
      <c r="D16" s="2">
        <v>2592</v>
      </c>
      <c r="E16" s="2" t="s">
        <v>86</v>
      </c>
      <c r="F16" s="2" t="s">
        <v>69</v>
      </c>
      <c r="G16" s="2">
        <v>4</v>
      </c>
      <c r="H16" s="2">
        <v>40</v>
      </c>
      <c r="I16" s="2">
        <v>12</v>
      </c>
      <c r="J16" s="2" t="s">
        <v>57</v>
      </c>
      <c r="K16" s="2" t="s">
        <v>52</v>
      </c>
      <c r="L16" s="2" t="s">
        <v>53</v>
      </c>
      <c r="M16" s="2"/>
    </row>
    <row r="17" spans="1:13" x14ac:dyDescent="0.25">
      <c r="A17" s="2">
        <v>3</v>
      </c>
      <c r="B17" s="2">
        <v>508</v>
      </c>
      <c r="C17" s="2" t="s">
        <v>48</v>
      </c>
      <c r="D17" s="2">
        <v>2594</v>
      </c>
      <c r="E17" s="2" t="s">
        <v>87</v>
      </c>
      <c r="F17" s="2" t="s">
        <v>69</v>
      </c>
      <c r="G17" s="2">
        <v>2</v>
      </c>
      <c r="H17" s="2">
        <v>25</v>
      </c>
      <c r="I17" s="2">
        <v>8</v>
      </c>
      <c r="J17" s="2" t="s">
        <v>57</v>
      </c>
      <c r="K17" s="2" t="s">
        <v>52</v>
      </c>
      <c r="L17" s="2" t="s">
        <v>53</v>
      </c>
      <c r="M17" s="2"/>
    </row>
    <row r="18" spans="1:13" x14ac:dyDescent="0.25">
      <c r="A18" s="2">
        <v>3</v>
      </c>
      <c r="B18" s="2" t="s">
        <v>88</v>
      </c>
      <c r="C18" s="2" t="s">
        <v>59</v>
      </c>
      <c r="D18" s="2">
        <v>3271</v>
      </c>
      <c r="E18" s="2" t="s">
        <v>89</v>
      </c>
      <c r="F18" s="2" t="s">
        <v>61</v>
      </c>
      <c r="G18" s="2">
        <v>2</v>
      </c>
      <c r="H18" s="2">
        <v>138</v>
      </c>
      <c r="I18" s="2">
        <v>41.4</v>
      </c>
      <c r="J18" s="2" t="s">
        <v>70</v>
      </c>
      <c r="K18" s="2" t="s">
        <v>52</v>
      </c>
      <c r="L18" s="2" t="s">
        <v>52</v>
      </c>
      <c r="M18" s="2"/>
    </row>
    <row r="19" spans="1:13" x14ac:dyDescent="0.25">
      <c r="A19" s="2">
        <v>3</v>
      </c>
      <c r="B19" s="2" t="s">
        <v>90</v>
      </c>
      <c r="C19" s="2" t="s">
        <v>63</v>
      </c>
      <c r="D19" s="2">
        <v>172062</v>
      </c>
      <c r="E19" s="2" t="s">
        <v>91</v>
      </c>
      <c r="F19" s="2" t="s">
        <v>92</v>
      </c>
      <c r="G19" s="2">
        <v>4</v>
      </c>
      <c r="H19" s="2">
        <v>50</v>
      </c>
      <c r="I19" s="2" t="s">
        <v>93</v>
      </c>
      <c r="J19" s="2" t="s">
        <v>67</v>
      </c>
      <c r="K19" s="2" t="s">
        <v>52</v>
      </c>
      <c r="L19" s="2" t="s">
        <v>53</v>
      </c>
      <c r="M19" s="2"/>
    </row>
    <row r="20" spans="1:13" x14ac:dyDescent="0.25">
      <c r="A20" s="2">
        <v>3</v>
      </c>
      <c r="B20" s="2" t="s">
        <v>66</v>
      </c>
      <c r="C20" s="2" t="s">
        <v>94</v>
      </c>
      <c r="D20" s="2" t="s">
        <v>66</v>
      </c>
      <c r="E20" s="2" t="s">
        <v>66</v>
      </c>
      <c r="F20" s="2" t="s">
        <v>95</v>
      </c>
      <c r="G20" s="2">
        <v>2</v>
      </c>
      <c r="H20" s="2">
        <v>72</v>
      </c>
      <c r="I20" s="2">
        <v>18</v>
      </c>
      <c r="J20" s="2" t="s">
        <v>57</v>
      </c>
      <c r="K20" s="2" t="s">
        <v>52</v>
      </c>
      <c r="L20" s="2" t="s">
        <v>53</v>
      </c>
      <c r="M20" s="2"/>
    </row>
    <row r="21" spans="1:13" x14ac:dyDescent="0.25">
      <c r="A21" s="2">
        <v>3</v>
      </c>
      <c r="B21" s="2" t="s">
        <v>66</v>
      </c>
      <c r="C21" s="2" t="s">
        <v>94</v>
      </c>
      <c r="D21" s="2" t="s">
        <v>66</v>
      </c>
      <c r="E21" s="2" t="s">
        <v>66</v>
      </c>
      <c r="F21" s="2" t="s">
        <v>96</v>
      </c>
      <c r="G21" s="2">
        <v>2</v>
      </c>
      <c r="H21" s="2">
        <v>66</v>
      </c>
      <c r="I21" s="2">
        <v>16.5</v>
      </c>
      <c r="J21" s="2" t="s">
        <v>57</v>
      </c>
      <c r="K21" s="2" t="s">
        <v>52</v>
      </c>
      <c r="L21" s="2" t="s">
        <v>53</v>
      </c>
      <c r="M21" s="2"/>
    </row>
    <row r="22" spans="1:13" x14ac:dyDescent="0.25">
      <c r="A22" s="2">
        <v>4</v>
      </c>
      <c r="B22" s="2">
        <v>401</v>
      </c>
      <c r="C22" s="2" t="s">
        <v>48</v>
      </c>
      <c r="D22" s="2">
        <v>2585</v>
      </c>
      <c r="E22" s="2" t="s">
        <v>97</v>
      </c>
      <c r="F22" s="2" t="s">
        <v>69</v>
      </c>
      <c r="G22" s="2">
        <v>2</v>
      </c>
      <c r="H22" s="2">
        <v>25</v>
      </c>
      <c r="I22" s="2">
        <v>8</v>
      </c>
      <c r="J22" s="2" t="s">
        <v>57</v>
      </c>
      <c r="K22" s="2" t="s">
        <v>52</v>
      </c>
      <c r="L22" s="2" t="s">
        <v>53</v>
      </c>
      <c r="M22" s="2"/>
    </row>
    <row r="23" spans="1:13" x14ac:dyDescent="0.25">
      <c r="A23" s="2">
        <v>4</v>
      </c>
      <c r="B23" s="2">
        <v>104</v>
      </c>
      <c r="C23" s="2" t="s">
        <v>48</v>
      </c>
      <c r="D23" s="2">
        <v>2597</v>
      </c>
      <c r="E23" s="2" t="s">
        <v>98</v>
      </c>
      <c r="F23" s="2" t="s">
        <v>69</v>
      </c>
      <c r="G23" s="2">
        <v>2</v>
      </c>
      <c r="H23" s="2">
        <v>25</v>
      </c>
      <c r="I23" s="2">
        <v>8</v>
      </c>
      <c r="J23" s="2" t="s">
        <v>73</v>
      </c>
      <c r="K23" s="2" t="s">
        <v>52</v>
      </c>
      <c r="L23" s="2" t="s">
        <v>53</v>
      </c>
      <c r="M23" s="2"/>
    </row>
    <row r="24" spans="1:13" x14ac:dyDescent="0.25">
      <c r="A24" s="2">
        <v>4</v>
      </c>
      <c r="B24" s="2">
        <v>601</v>
      </c>
      <c r="C24" s="2" t="s">
        <v>48</v>
      </c>
      <c r="D24" s="2">
        <v>2649</v>
      </c>
      <c r="E24" s="2" t="s">
        <v>99</v>
      </c>
      <c r="F24" s="2" t="s">
        <v>69</v>
      </c>
      <c r="G24" s="2">
        <v>2</v>
      </c>
      <c r="H24" s="2">
        <v>25</v>
      </c>
      <c r="I24" s="2">
        <v>8</v>
      </c>
      <c r="J24" s="2" t="s">
        <v>81</v>
      </c>
      <c r="K24" s="2" t="s">
        <v>52</v>
      </c>
      <c r="L24" s="2" t="s">
        <v>53</v>
      </c>
      <c r="M24" s="2"/>
    </row>
    <row r="25" spans="1:13" x14ac:dyDescent="0.25">
      <c r="A25" s="2">
        <v>4</v>
      </c>
      <c r="B25" s="2">
        <v>407</v>
      </c>
      <c r="C25" s="2" t="s">
        <v>48</v>
      </c>
      <c r="D25" s="2">
        <v>175802</v>
      </c>
      <c r="E25" s="2" t="s">
        <v>97</v>
      </c>
      <c r="F25" s="2" t="s">
        <v>80</v>
      </c>
      <c r="G25" s="2">
        <v>2</v>
      </c>
      <c r="H25" s="2">
        <v>25</v>
      </c>
      <c r="I25" s="2">
        <v>8</v>
      </c>
      <c r="J25" s="2" t="s">
        <v>81</v>
      </c>
      <c r="K25" s="2" t="s">
        <v>52</v>
      </c>
      <c r="L25" s="2" t="s">
        <v>53</v>
      </c>
      <c r="M25" s="2"/>
    </row>
    <row r="26" spans="1:13" x14ac:dyDescent="0.25">
      <c r="A26" s="2">
        <v>5</v>
      </c>
      <c r="B26" s="2" t="s">
        <v>100</v>
      </c>
      <c r="C26" s="2" t="s">
        <v>48</v>
      </c>
      <c r="D26" s="2">
        <v>2598</v>
      </c>
      <c r="E26" s="2" t="s">
        <v>101</v>
      </c>
      <c r="F26" s="2" t="s">
        <v>102</v>
      </c>
      <c r="G26" s="2">
        <v>1</v>
      </c>
      <c r="H26" s="2">
        <v>35</v>
      </c>
      <c r="I26" s="2">
        <v>10</v>
      </c>
      <c r="J26" s="2" t="s">
        <v>103</v>
      </c>
      <c r="K26" s="2" t="s">
        <v>52</v>
      </c>
      <c r="L26" s="2" t="s">
        <v>53</v>
      </c>
      <c r="M26" s="2"/>
    </row>
    <row r="27" spans="1:13" x14ac:dyDescent="0.25">
      <c r="A27" s="2">
        <v>5</v>
      </c>
      <c r="B27" s="2">
        <v>212</v>
      </c>
      <c r="C27" s="2" t="s">
        <v>48</v>
      </c>
      <c r="D27" s="2">
        <v>2599</v>
      </c>
      <c r="E27" s="2" t="s">
        <v>104</v>
      </c>
      <c r="F27" s="2" t="s">
        <v>69</v>
      </c>
      <c r="G27" s="2">
        <v>1</v>
      </c>
      <c r="H27" s="2">
        <v>25</v>
      </c>
      <c r="I27" s="2">
        <v>8</v>
      </c>
      <c r="J27" s="2" t="s">
        <v>70</v>
      </c>
      <c r="K27" s="2" t="s">
        <v>52</v>
      </c>
      <c r="L27" s="2" t="s">
        <v>53</v>
      </c>
      <c r="M27" s="2"/>
    </row>
    <row r="28" spans="1:13" x14ac:dyDescent="0.25">
      <c r="A28" s="2">
        <v>5</v>
      </c>
      <c r="B28" s="2">
        <v>212</v>
      </c>
      <c r="C28" s="2" t="s">
        <v>48</v>
      </c>
      <c r="D28" s="2">
        <v>2600</v>
      </c>
      <c r="E28" s="2" t="s">
        <v>105</v>
      </c>
      <c r="F28" s="2" t="s">
        <v>69</v>
      </c>
      <c r="G28" s="2">
        <v>1</v>
      </c>
      <c r="H28" s="2">
        <v>25</v>
      </c>
      <c r="I28" s="2">
        <v>8</v>
      </c>
      <c r="J28" s="2" t="s">
        <v>70</v>
      </c>
      <c r="K28" s="2" t="s">
        <v>52</v>
      </c>
      <c r="L28" s="2" t="s">
        <v>53</v>
      </c>
      <c r="M28" s="2"/>
    </row>
    <row r="29" spans="1:13" x14ac:dyDescent="0.25">
      <c r="A29" s="2">
        <v>6</v>
      </c>
      <c r="B29" s="2" t="s">
        <v>106</v>
      </c>
      <c r="C29" s="2" t="s">
        <v>48</v>
      </c>
      <c r="D29" s="2">
        <v>2551</v>
      </c>
      <c r="E29" s="2" t="s">
        <v>107</v>
      </c>
      <c r="F29" s="2" t="s">
        <v>69</v>
      </c>
      <c r="G29" s="2">
        <v>3</v>
      </c>
      <c r="H29" s="2">
        <v>35</v>
      </c>
      <c r="I29" s="2">
        <v>10</v>
      </c>
      <c r="J29" s="2" t="s">
        <v>84</v>
      </c>
      <c r="K29" s="2" t="s">
        <v>52</v>
      </c>
      <c r="L29" s="2" t="s">
        <v>53</v>
      </c>
      <c r="M29" s="2"/>
    </row>
    <row r="30" spans="1:13" x14ac:dyDescent="0.25">
      <c r="A30" s="2">
        <v>6</v>
      </c>
      <c r="B30" s="2" t="s">
        <v>108</v>
      </c>
      <c r="C30" s="2" t="s">
        <v>48</v>
      </c>
      <c r="D30" s="2">
        <v>2653</v>
      </c>
      <c r="E30" s="2" t="s">
        <v>109</v>
      </c>
      <c r="F30" s="2" t="s">
        <v>69</v>
      </c>
      <c r="G30" s="2">
        <v>3</v>
      </c>
      <c r="H30" s="2">
        <v>35</v>
      </c>
      <c r="I30" s="2"/>
      <c r="J30" s="2" t="s">
        <v>57</v>
      </c>
      <c r="K30" s="2" t="s">
        <v>52</v>
      </c>
      <c r="L30" s="2" t="s">
        <v>53</v>
      </c>
      <c r="M30" s="2"/>
    </row>
    <row r="31" spans="1:13" x14ac:dyDescent="0.25">
      <c r="A31" s="2">
        <v>6</v>
      </c>
      <c r="B31" s="2" t="s">
        <v>110</v>
      </c>
      <c r="C31" s="2" t="s">
        <v>63</v>
      </c>
      <c r="D31" s="2">
        <v>168101</v>
      </c>
      <c r="E31" s="2" t="s">
        <v>111</v>
      </c>
      <c r="F31" s="2" t="s">
        <v>69</v>
      </c>
      <c r="G31" s="2">
        <v>2</v>
      </c>
      <c r="H31" s="2">
        <v>22</v>
      </c>
      <c r="I31" s="2" t="s">
        <v>66</v>
      </c>
      <c r="J31" s="2" t="s">
        <v>77</v>
      </c>
      <c r="K31" s="2" t="s">
        <v>52</v>
      </c>
      <c r="L31" s="2" t="s">
        <v>53</v>
      </c>
      <c r="M31" s="2"/>
    </row>
    <row r="32" spans="1:13" x14ac:dyDescent="0.25">
      <c r="A32" s="2">
        <v>7</v>
      </c>
      <c r="B32" s="2">
        <v>218</v>
      </c>
      <c r="C32" s="2" t="s">
        <v>48</v>
      </c>
      <c r="D32" s="2">
        <v>2652</v>
      </c>
      <c r="E32" s="2" t="s">
        <v>112</v>
      </c>
      <c r="F32" s="2" t="s">
        <v>69</v>
      </c>
      <c r="G32" s="2">
        <v>2</v>
      </c>
      <c r="H32" s="2">
        <v>25</v>
      </c>
      <c r="I32" s="2">
        <v>8</v>
      </c>
      <c r="J32" s="2" t="s">
        <v>57</v>
      </c>
      <c r="K32" s="2" t="s">
        <v>52</v>
      </c>
      <c r="L32" s="2" t="s">
        <v>53</v>
      </c>
      <c r="M32" s="2"/>
    </row>
    <row r="33" spans="1:13" x14ac:dyDescent="0.25">
      <c r="A33" s="2">
        <v>7</v>
      </c>
      <c r="B33" s="2">
        <v>230</v>
      </c>
      <c r="C33" s="2" t="s">
        <v>48</v>
      </c>
      <c r="D33" s="2">
        <v>2654</v>
      </c>
      <c r="E33" s="2" t="s">
        <v>113</v>
      </c>
      <c r="F33" s="2" t="s">
        <v>80</v>
      </c>
      <c r="G33" s="2">
        <v>2</v>
      </c>
      <c r="H33" s="2">
        <v>25</v>
      </c>
      <c r="I33" s="2">
        <v>8</v>
      </c>
      <c r="J33" s="2" t="s">
        <v>81</v>
      </c>
      <c r="K33" s="2" t="s">
        <v>52</v>
      </c>
      <c r="L33" s="2" t="s">
        <v>53</v>
      </c>
      <c r="M33" s="2"/>
    </row>
    <row r="34" spans="1:13" x14ac:dyDescent="0.25">
      <c r="A34" s="2">
        <v>7</v>
      </c>
      <c r="B34" s="2">
        <v>319</v>
      </c>
      <c r="C34" s="2" t="s">
        <v>48</v>
      </c>
      <c r="D34" s="2">
        <v>2655</v>
      </c>
      <c r="E34" s="2" t="s">
        <v>113</v>
      </c>
      <c r="F34" s="2" t="s">
        <v>114</v>
      </c>
      <c r="G34" s="2">
        <v>1</v>
      </c>
      <c r="H34" s="2">
        <v>25</v>
      </c>
      <c r="I34" s="2">
        <v>8</v>
      </c>
      <c r="J34" s="2" t="s">
        <v>81</v>
      </c>
      <c r="K34" s="2" t="s">
        <v>52</v>
      </c>
      <c r="L34" s="2" t="s">
        <v>53</v>
      </c>
      <c r="M34" s="2"/>
    </row>
    <row r="35" spans="1:13" x14ac:dyDescent="0.25">
      <c r="A35" s="2">
        <v>7</v>
      </c>
      <c r="B35" s="2">
        <v>216</v>
      </c>
      <c r="C35" s="2" t="s">
        <v>48</v>
      </c>
      <c r="D35" s="2">
        <v>2656</v>
      </c>
      <c r="E35" s="2" t="s">
        <v>113</v>
      </c>
      <c r="F35" s="2" t="s">
        <v>114</v>
      </c>
      <c r="G35" s="2">
        <v>1</v>
      </c>
      <c r="H35" s="2">
        <v>25</v>
      </c>
      <c r="I35" s="2">
        <v>8</v>
      </c>
      <c r="J35" s="2" t="s">
        <v>70</v>
      </c>
      <c r="K35" s="2" t="s">
        <v>52</v>
      </c>
      <c r="L35" s="2" t="s">
        <v>53</v>
      </c>
      <c r="M35" s="2"/>
    </row>
    <row r="36" spans="1:13" x14ac:dyDescent="0.25">
      <c r="A36" s="2">
        <v>7</v>
      </c>
      <c r="B36" s="2" t="s">
        <v>115</v>
      </c>
      <c r="C36" s="2" t="s">
        <v>48</v>
      </c>
      <c r="D36" s="2">
        <v>2888</v>
      </c>
      <c r="E36" s="2" t="s">
        <v>116</v>
      </c>
      <c r="F36" s="2" t="s">
        <v>117</v>
      </c>
      <c r="G36" s="2">
        <v>2</v>
      </c>
      <c r="H36" s="2">
        <v>35</v>
      </c>
      <c r="I36" s="2">
        <v>10</v>
      </c>
      <c r="J36" s="2" t="s">
        <v>67</v>
      </c>
      <c r="K36" s="2" t="s">
        <v>52</v>
      </c>
      <c r="L36" s="2" t="s">
        <v>53</v>
      </c>
      <c r="M36" s="2"/>
    </row>
    <row r="37" spans="1:13" x14ac:dyDescent="0.25">
      <c r="A37" s="2">
        <v>7</v>
      </c>
      <c r="B37" s="2">
        <v>328</v>
      </c>
      <c r="C37" s="2" t="s">
        <v>48</v>
      </c>
      <c r="D37" s="2">
        <v>2657</v>
      </c>
      <c r="E37" s="2" t="s">
        <v>118</v>
      </c>
      <c r="F37" s="2" t="s">
        <v>80</v>
      </c>
      <c r="G37" s="2">
        <v>1</v>
      </c>
      <c r="H37" s="2">
        <v>25</v>
      </c>
      <c r="I37" s="2">
        <v>8</v>
      </c>
      <c r="J37" s="2" t="s">
        <v>119</v>
      </c>
      <c r="K37" s="2" t="s">
        <v>52</v>
      </c>
      <c r="L37" s="2" t="s">
        <v>53</v>
      </c>
      <c r="M37" s="2"/>
    </row>
    <row r="38" spans="1:13" x14ac:dyDescent="0.25">
      <c r="A38" s="2">
        <v>8</v>
      </c>
      <c r="B38" s="2" t="s">
        <v>120</v>
      </c>
      <c r="C38" s="2" t="s">
        <v>48</v>
      </c>
      <c r="D38" s="2">
        <v>171227</v>
      </c>
      <c r="E38" s="2" t="s">
        <v>121</v>
      </c>
      <c r="F38" s="2" t="s">
        <v>50</v>
      </c>
      <c r="G38" s="2">
        <v>1</v>
      </c>
      <c r="H38" s="2">
        <v>25</v>
      </c>
      <c r="I38" s="2">
        <v>8</v>
      </c>
      <c r="J38" s="2" t="s">
        <v>122</v>
      </c>
      <c r="K38" s="2" t="s">
        <v>52</v>
      </c>
      <c r="L38" s="2" t="s">
        <v>53</v>
      </c>
      <c r="M38" s="2"/>
    </row>
    <row r="39" spans="1:13" x14ac:dyDescent="0.25">
      <c r="A39" s="2">
        <v>8</v>
      </c>
      <c r="B39" s="2">
        <v>110</v>
      </c>
      <c r="C39" s="2" t="s">
        <v>48</v>
      </c>
      <c r="D39" s="2">
        <v>2659</v>
      </c>
      <c r="E39" s="2" t="s">
        <v>123</v>
      </c>
      <c r="F39" s="2" t="s">
        <v>69</v>
      </c>
      <c r="G39" s="2">
        <v>2</v>
      </c>
      <c r="H39" s="2">
        <v>25</v>
      </c>
      <c r="I39" s="2">
        <v>8</v>
      </c>
      <c r="J39" s="2" t="s">
        <v>57</v>
      </c>
      <c r="K39" s="2" t="s">
        <v>52</v>
      </c>
      <c r="L39" s="2" t="s">
        <v>53</v>
      </c>
      <c r="M39" s="2"/>
    </row>
    <row r="40" spans="1:13" x14ac:dyDescent="0.25">
      <c r="A40" s="2">
        <v>8</v>
      </c>
      <c r="B40" s="2">
        <v>216</v>
      </c>
      <c r="C40" s="2" t="s">
        <v>94</v>
      </c>
      <c r="D40" s="2">
        <v>173879</v>
      </c>
      <c r="E40" s="2" t="s">
        <v>66</v>
      </c>
      <c r="F40" s="2" t="s">
        <v>96</v>
      </c>
      <c r="G40" s="2">
        <v>2</v>
      </c>
      <c r="H40" s="2">
        <v>66</v>
      </c>
      <c r="I40" s="2">
        <v>16.5</v>
      </c>
      <c r="J40" s="2" t="s">
        <v>57</v>
      </c>
      <c r="K40" s="2" t="s">
        <v>52</v>
      </c>
      <c r="L40" s="2" t="s">
        <v>53</v>
      </c>
      <c r="M40" s="2"/>
    </row>
    <row r="41" spans="1:13" x14ac:dyDescent="0.25">
      <c r="A41" s="2">
        <v>9</v>
      </c>
      <c r="B41" s="2">
        <v>514</v>
      </c>
      <c r="C41" s="2" t="s">
        <v>63</v>
      </c>
      <c r="D41" s="2">
        <v>175812</v>
      </c>
      <c r="E41" s="2" t="s">
        <v>113</v>
      </c>
      <c r="F41" s="2" t="s">
        <v>69</v>
      </c>
      <c r="G41" s="2">
        <v>1</v>
      </c>
      <c r="H41" s="2">
        <v>22</v>
      </c>
      <c r="I41" s="2" t="s">
        <v>66</v>
      </c>
      <c r="J41" s="2" t="s">
        <v>70</v>
      </c>
      <c r="K41" s="2" t="s">
        <v>52</v>
      </c>
      <c r="L41" s="2" t="s">
        <v>53</v>
      </c>
      <c r="M41" s="2"/>
    </row>
    <row r="42" spans="1:13" x14ac:dyDescent="0.25">
      <c r="A42" s="2">
        <v>9</v>
      </c>
      <c r="B42" s="2">
        <v>404</v>
      </c>
      <c r="C42" s="2" t="s">
        <v>48</v>
      </c>
      <c r="D42" s="2">
        <v>2658</v>
      </c>
      <c r="E42" s="2" t="s">
        <v>124</v>
      </c>
      <c r="F42" s="2" t="s">
        <v>50</v>
      </c>
      <c r="G42" s="2">
        <v>2</v>
      </c>
      <c r="H42" s="2">
        <v>25</v>
      </c>
      <c r="I42" s="2">
        <v>8</v>
      </c>
      <c r="J42" s="2" t="s">
        <v>73</v>
      </c>
      <c r="K42" s="2" t="s">
        <v>52</v>
      </c>
      <c r="L42" s="2" t="s">
        <v>53</v>
      </c>
      <c r="M42" s="2"/>
    </row>
    <row r="43" spans="1:13" x14ac:dyDescent="0.25">
      <c r="A43" s="2">
        <v>9</v>
      </c>
      <c r="B43" s="2">
        <v>216</v>
      </c>
      <c r="C43" s="2" t="s">
        <v>48</v>
      </c>
      <c r="D43" s="2">
        <v>2889</v>
      </c>
      <c r="E43" s="2" t="s">
        <v>125</v>
      </c>
      <c r="F43" s="2" t="s">
        <v>69</v>
      </c>
      <c r="G43" s="2">
        <v>2</v>
      </c>
      <c r="H43" s="2">
        <v>25</v>
      </c>
      <c r="I43" s="2">
        <v>8</v>
      </c>
      <c r="J43" s="2" t="s">
        <v>67</v>
      </c>
      <c r="K43" s="2" t="s">
        <v>52</v>
      </c>
      <c r="L43" s="2" t="s">
        <v>53</v>
      </c>
      <c r="M43" s="2"/>
    </row>
    <row r="44" spans="1:13" x14ac:dyDescent="0.25">
      <c r="A44" s="2">
        <v>9</v>
      </c>
      <c r="B44" s="2" t="s">
        <v>126</v>
      </c>
      <c r="C44" s="2" t="s">
        <v>48</v>
      </c>
      <c r="D44" s="2">
        <v>2618</v>
      </c>
      <c r="E44" s="2" t="s">
        <v>127</v>
      </c>
      <c r="F44" s="2" t="s">
        <v>128</v>
      </c>
      <c r="G44" s="2">
        <v>2</v>
      </c>
      <c r="H44" s="2">
        <v>35</v>
      </c>
      <c r="I44" s="2">
        <v>10</v>
      </c>
      <c r="J44" s="2" t="s">
        <v>51</v>
      </c>
      <c r="K44" s="2" t="s">
        <v>52</v>
      </c>
      <c r="L44" s="2" t="s">
        <v>53</v>
      </c>
      <c r="M44" s="2"/>
    </row>
    <row r="45" spans="1:13" x14ac:dyDescent="0.25">
      <c r="A45" s="2">
        <v>9</v>
      </c>
      <c r="B45" s="2">
        <v>402</v>
      </c>
      <c r="C45" s="2" t="s">
        <v>48</v>
      </c>
      <c r="D45" s="2">
        <v>2660</v>
      </c>
      <c r="E45" s="2" t="s">
        <v>129</v>
      </c>
      <c r="F45" s="2" t="s">
        <v>69</v>
      </c>
      <c r="G45" s="2">
        <v>2</v>
      </c>
      <c r="H45" s="2">
        <v>25</v>
      </c>
      <c r="I45" s="2">
        <v>8</v>
      </c>
      <c r="J45" s="2" t="s">
        <v>57</v>
      </c>
      <c r="K45" s="2" t="s">
        <v>53</v>
      </c>
      <c r="L45" s="2" t="s">
        <v>53</v>
      </c>
      <c r="M45" s="2"/>
    </row>
    <row r="46" spans="1:13" x14ac:dyDescent="0.25">
      <c r="A46" s="2">
        <v>9</v>
      </c>
      <c r="B46" s="2">
        <v>509</v>
      </c>
      <c r="C46" s="2" t="s">
        <v>48</v>
      </c>
      <c r="D46" s="2">
        <v>2661</v>
      </c>
      <c r="E46" s="2" t="s">
        <v>130</v>
      </c>
      <c r="F46" s="2" t="s">
        <v>69</v>
      </c>
      <c r="G46" s="2">
        <v>2</v>
      </c>
      <c r="H46" s="2">
        <v>25</v>
      </c>
      <c r="I46" s="2">
        <v>8</v>
      </c>
      <c r="J46" s="2" t="s">
        <v>57</v>
      </c>
      <c r="K46" s="2" t="s">
        <v>52</v>
      </c>
      <c r="L46" s="2" t="s">
        <v>53</v>
      </c>
      <c r="M46" s="2"/>
    </row>
    <row r="47" spans="1:13" x14ac:dyDescent="0.25">
      <c r="A47" s="2">
        <v>9</v>
      </c>
      <c r="B47" s="2">
        <v>206</v>
      </c>
      <c r="C47" s="2" t="s">
        <v>59</v>
      </c>
      <c r="D47" s="2">
        <v>3272</v>
      </c>
      <c r="E47" s="2" t="s">
        <v>131</v>
      </c>
      <c r="F47" s="2" t="s">
        <v>61</v>
      </c>
      <c r="G47" s="2">
        <v>3</v>
      </c>
      <c r="H47" s="2">
        <v>207</v>
      </c>
      <c r="I47" s="2">
        <v>62.1</v>
      </c>
      <c r="J47" s="2" t="s">
        <v>57</v>
      </c>
      <c r="K47" s="2" t="s">
        <v>52</v>
      </c>
      <c r="L47" s="2" t="s">
        <v>53</v>
      </c>
      <c r="M47" s="2"/>
    </row>
    <row r="48" spans="1:13" x14ac:dyDescent="0.25">
      <c r="A48" s="2">
        <v>10</v>
      </c>
      <c r="B48" s="2" t="s">
        <v>100</v>
      </c>
      <c r="C48" s="2" t="s">
        <v>48</v>
      </c>
      <c r="D48" s="2">
        <v>2598</v>
      </c>
      <c r="E48" s="2" t="s">
        <v>132</v>
      </c>
      <c r="F48" s="2" t="s">
        <v>69</v>
      </c>
      <c r="G48" s="2">
        <v>1</v>
      </c>
      <c r="H48" s="2">
        <v>25</v>
      </c>
      <c r="I48" s="2">
        <v>8</v>
      </c>
      <c r="J48" s="2" t="s">
        <v>103</v>
      </c>
      <c r="K48" s="2" t="s">
        <v>52</v>
      </c>
      <c r="L48" s="2" t="s">
        <v>53</v>
      </c>
      <c r="M48" s="2"/>
    </row>
    <row r="49" spans="1:13" x14ac:dyDescent="0.25">
      <c r="A49" s="2">
        <v>11</v>
      </c>
      <c r="B49" s="2" t="s">
        <v>133</v>
      </c>
      <c r="C49" s="2" t="s">
        <v>63</v>
      </c>
      <c r="D49" s="2">
        <v>171758</v>
      </c>
      <c r="E49" s="2" t="s">
        <v>134</v>
      </c>
      <c r="F49" s="2" t="s">
        <v>135</v>
      </c>
      <c r="G49" s="2">
        <v>4</v>
      </c>
      <c r="H49" s="2">
        <v>50</v>
      </c>
      <c r="I49" s="2" t="s">
        <v>66</v>
      </c>
      <c r="J49" s="2" t="s">
        <v>51</v>
      </c>
      <c r="K49" s="2" t="s">
        <v>53</v>
      </c>
      <c r="L49" s="2" t="s">
        <v>53</v>
      </c>
      <c r="M49" s="2"/>
    </row>
    <row r="50" spans="1:13" x14ac:dyDescent="0.25">
      <c r="A50" s="2">
        <v>11</v>
      </c>
      <c r="B50" s="2" t="s">
        <v>136</v>
      </c>
      <c r="C50" s="2" t="s">
        <v>63</v>
      </c>
      <c r="D50" s="2">
        <v>174294</v>
      </c>
      <c r="E50" s="2" t="s">
        <v>137</v>
      </c>
      <c r="F50" s="2" t="s">
        <v>138</v>
      </c>
      <c r="G50" s="2">
        <v>4</v>
      </c>
      <c r="H50" s="2">
        <v>50</v>
      </c>
      <c r="I50" s="2" t="s">
        <v>66</v>
      </c>
      <c r="J50" s="2" t="s">
        <v>84</v>
      </c>
      <c r="K50" s="2" t="s">
        <v>53</v>
      </c>
      <c r="L50" s="2" t="s">
        <v>53</v>
      </c>
      <c r="M50" s="2"/>
    </row>
    <row r="51" spans="1:13" x14ac:dyDescent="0.25">
      <c r="A51" s="2">
        <v>13</v>
      </c>
      <c r="B51" s="2" t="s">
        <v>139</v>
      </c>
      <c r="C51" s="2" t="s">
        <v>63</v>
      </c>
      <c r="D51" s="2">
        <v>174071</v>
      </c>
      <c r="E51" s="2" t="s">
        <v>111</v>
      </c>
      <c r="F51" s="2" t="s">
        <v>69</v>
      </c>
      <c r="G51" s="2">
        <v>2</v>
      </c>
      <c r="H51" s="2">
        <v>22</v>
      </c>
      <c r="I51" s="2" t="s">
        <v>66</v>
      </c>
      <c r="J51" s="2" t="s">
        <v>51</v>
      </c>
      <c r="K51" s="2" t="s">
        <v>53</v>
      </c>
      <c r="L51" s="2" t="s">
        <v>53</v>
      </c>
      <c r="M51" s="2"/>
    </row>
    <row r="52" spans="1:13" x14ac:dyDescent="0.25">
      <c r="A52" s="2">
        <v>14</v>
      </c>
      <c r="B52" s="2" t="s">
        <v>126</v>
      </c>
      <c r="C52" s="2" t="s">
        <v>48</v>
      </c>
      <c r="D52" s="2">
        <v>2619</v>
      </c>
      <c r="E52" s="2" t="s">
        <v>111</v>
      </c>
      <c r="F52" s="2" t="s">
        <v>50</v>
      </c>
      <c r="G52" s="2">
        <v>2</v>
      </c>
      <c r="H52" s="2">
        <v>25</v>
      </c>
      <c r="I52" s="2">
        <v>8</v>
      </c>
      <c r="J52" s="2" t="s">
        <v>51</v>
      </c>
      <c r="K52" s="2" t="s">
        <v>52</v>
      </c>
      <c r="L52" s="2" t="s">
        <v>53</v>
      </c>
      <c r="M52" s="2"/>
    </row>
    <row r="53" spans="1:13" x14ac:dyDescent="0.25">
      <c r="A53" s="2">
        <v>15</v>
      </c>
      <c r="B53" s="2" t="s">
        <v>140</v>
      </c>
      <c r="C53" s="2" t="s">
        <v>63</v>
      </c>
      <c r="D53" s="2">
        <v>176045</v>
      </c>
      <c r="E53" s="2" t="s">
        <v>141</v>
      </c>
      <c r="F53" s="2" t="s">
        <v>142</v>
      </c>
      <c r="G53" s="2">
        <v>2</v>
      </c>
      <c r="H53" s="2">
        <v>39</v>
      </c>
      <c r="I53" s="2" t="s">
        <v>66</v>
      </c>
      <c r="J53" s="2" t="s">
        <v>84</v>
      </c>
      <c r="K53" s="2" t="s">
        <v>53</v>
      </c>
      <c r="L53" s="2" t="s">
        <v>53</v>
      </c>
      <c r="M53" s="2"/>
    </row>
    <row r="54" spans="1:13" x14ac:dyDescent="0.25">
      <c r="A54" s="2">
        <v>18</v>
      </c>
      <c r="B54" s="2" t="s">
        <v>143</v>
      </c>
      <c r="C54" s="2" t="s">
        <v>63</v>
      </c>
      <c r="D54" s="2">
        <v>168820</v>
      </c>
      <c r="E54" s="2" t="s">
        <v>111</v>
      </c>
      <c r="F54" s="2" t="s">
        <v>69</v>
      </c>
      <c r="G54" s="2">
        <v>2</v>
      </c>
      <c r="H54" s="2">
        <v>22</v>
      </c>
      <c r="I54" s="2" t="s">
        <v>66</v>
      </c>
      <c r="J54" s="2" t="s">
        <v>84</v>
      </c>
      <c r="K54" s="2" t="s">
        <v>53</v>
      </c>
      <c r="L54" s="2" t="s">
        <v>53</v>
      </c>
      <c r="M54" s="2"/>
    </row>
    <row r="55" spans="1:13" x14ac:dyDescent="0.25">
      <c r="A55" s="2">
        <v>19</v>
      </c>
      <c r="B55" s="2" t="s">
        <v>140</v>
      </c>
      <c r="C55" s="2" t="s">
        <v>63</v>
      </c>
      <c r="D55" s="2">
        <v>176045</v>
      </c>
      <c r="E55" s="2" t="s">
        <v>111</v>
      </c>
      <c r="F55" s="2" t="s">
        <v>69</v>
      </c>
      <c r="G55" s="2">
        <v>2</v>
      </c>
      <c r="H55" s="2">
        <v>22</v>
      </c>
      <c r="I55" s="2" t="s">
        <v>66</v>
      </c>
      <c r="J55" s="2" t="s">
        <v>84</v>
      </c>
      <c r="K55" s="2" t="s">
        <v>53</v>
      </c>
      <c r="L55" s="2" t="s">
        <v>53</v>
      </c>
      <c r="M55" s="2"/>
    </row>
    <row r="56" spans="1:13" x14ac:dyDescent="0.25">
      <c r="A56" s="2">
        <v>20</v>
      </c>
      <c r="B56" s="2" t="s">
        <v>144</v>
      </c>
      <c r="C56" s="2" t="s">
        <v>48</v>
      </c>
      <c r="D56" s="2">
        <v>2574</v>
      </c>
      <c r="E56" s="2" t="s">
        <v>145</v>
      </c>
      <c r="F56" s="2" t="s">
        <v>146</v>
      </c>
      <c r="G56" s="2">
        <v>12</v>
      </c>
      <c r="H56" s="2">
        <v>110</v>
      </c>
      <c r="I56" s="2">
        <v>30</v>
      </c>
      <c r="J56" s="2" t="s">
        <v>57</v>
      </c>
      <c r="K56" s="2" t="s">
        <v>53</v>
      </c>
      <c r="L56" s="2" t="s">
        <v>53</v>
      </c>
      <c r="M56" s="2"/>
    </row>
    <row r="57" spans="1:13" x14ac:dyDescent="0.25">
      <c r="A57" s="2">
        <v>20</v>
      </c>
      <c r="B57" s="2" t="s">
        <v>147</v>
      </c>
      <c r="C57" s="2" t="s">
        <v>63</v>
      </c>
      <c r="D57" s="2">
        <v>173651</v>
      </c>
      <c r="E57" s="2" t="s">
        <v>148</v>
      </c>
      <c r="F57" s="2" t="s">
        <v>149</v>
      </c>
      <c r="G57" s="2">
        <v>2</v>
      </c>
      <c r="H57" s="2">
        <v>39</v>
      </c>
      <c r="I57" s="2" t="s">
        <v>66</v>
      </c>
      <c r="J57" s="2" t="s">
        <v>70</v>
      </c>
      <c r="K57" s="2" t="s">
        <v>53</v>
      </c>
      <c r="L57" s="2" t="s">
        <v>53</v>
      </c>
      <c r="M57" s="2"/>
    </row>
    <row r="58" spans="1:13" x14ac:dyDescent="0.25">
      <c r="A58" s="2">
        <v>23</v>
      </c>
      <c r="B58" s="2" t="s">
        <v>144</v>
      </c>
      <c r="C58" s="2" t="s">
        <v>48</v>
      </c>
      <c r="D58" s="2">
        <v>2575</v>
      </c>
      <c r="E58" s="2" t="s">
        <v>111</v>
      </c>
      <c r="F58" s="2" t="s">
        <v>69</v>
      </c>
      <c r="G58" s="2">
        <v>12</v>
      </c>
      <c r="H58" s="2">
        <v>110</v>
      </c>
      <c r="I58" s="2">
        <v>30</v>
      </c>
      <c r="J58" s="2" t="s">
        <v>57</v>
      </c>
      <c r="K58" s="2" t="s">
        <v>53</v>
      </c>
      <c r="L58" s="2" t="s">
        <v>53</v>
      </c>
      <c r="M58" s="2"/>
    </row>
    <row r="59" spans="1:13" x14ac:dyDescent="0.25">
      <c r="A59" s="2">
        <v>23</v>
      </c>
      <c r="B59" s="2" t="s">
        <v>150</v>
      </c>
      <c r="C59" s="2" t="s">
        <v>63</v>
      </c>
      <c r="D59" s="2">
        <v>172158</v>
      </c>
      <c r="E59" s="2" t="s">
        <v>111</v>
      </c>
      <c r="F59" s="2" t="s">
        <v>69</v>
      </c>
      <c r="G59" s="2">
        <v>2</v>
      </c>
      <c r="H59" s="2">
        <v>22</v>
      </c>
      <c r="I59" s="2" t="s">
        <v>66</v>
      </c>
      <c r="J59" s="2" t="s">
        <v>67</v>
      </c>
      <c r="K59" s="2" t="s">
        <v>53</v>
      </c>
      <c r="L59" s="2" t="s">
        <v>53</v>
      </c>
      <c r="M59" s="2"/>
    </row>
    <row r="60" spans="1:13" x14ac:dyDescent="0.25">
      <c r="A60" s="2">
        <v>23</v>
      </c>
      <c r="B60" s="2" t="s">
        <v>147</v>
      </c>
      <c r="C60" s="2" t="s">
        <v>63</v>
      </c>
      <c r="D60" s="2">
        <v>173651</v>
      </c>
      <c r="E60" s="2" t="s">
        <v>111</v>
      </c>
      <c r="F60" s="2" t="s">
        <v>69</v>
      </c>
      <c r="G60" s="2">
        <v>2</v>
      </c>
      <c r="H60" s="2">
        <v>22</v>
      </c>
      <c r="I60" s="2" t="s">
        <v>66</v>
      </c>
      <c r="J60" s="2" t="s">
        <v>70</v>
      </c>
      <c r="K60" s="2" t="s">
        <v>53</v>
      </c>
      <c r="L60" s="2" t="s">
        <v>53</v>
      </c>
      <c r="M60" s="2"/>
    </row>
    <row r="61" spans="1:13" x14ac:dyDescent="0.25">
      <c r="A61" s="2">
        <v>28</v>
      </c>
      <c r="B61" s="2" t="s">
        <v>151</v>
      </c>
      <c r="C61" s="2" t="s">
        <v>152</v>
      </c>
      <c r="D61" s="2">
        <v>170369</v>
      </c>
      <c r="E61" s="2" t="s">
        <v>153</v>
      </c>
      <c r="F61" s="2" t="s">
        <v>154</v>
      </c>
      <c r="G61" s="2">
        <v>1</v>
      </c>
      <c r="H61" s="2">
        <v>170</v>
      </c>
      <c r="I61" s="2">
        <v>25.5</v>
      </c>
      <c r="J61" s="2" t="s">
        <v>57</v>
      </c>
      <c r="K61" s="2" t="s">
        <v>53</v>
      </c>
      <c r="L61" s="2" t="s">
        <v>53</v>
      </c>
      <c r="M61" s="2"/>
    </row>
    <row r="62" spans="1:13" x14ac:dyDescent="0.25">
      <c r="A62" s="2">
        <v>29</v>
      </c>
      <c r="B62" s="2" t="s">
        <v>155</v>
      </c>
      <c r="C62" s="2" t="s">
        <v>63</v>
      </c>
      <c r="D62" s="2">
        <v>176114</v>
      </c>
      <c r="E62" s="2" t="s">
        <v>111</v>
      </c>
      <c r="F62" s="2" t="s">
        <v>156</v>
      </c>
      <c r="G62" s="2">
        <v>2</v>
      </c>
      <c r="H62" s="2">
        <v>39</v>
      </c>
      <c r="I62" s="2" t="s">
        <v>66</v>
      </c>
      <c r="J62" s="2" t="s">
        <v>84</v>
      </c>
      <c r="K62" s="2" t="s">
        <v>52</v>
      </c>
      <c r="L62" s="2" t="s">
        <v>53</v>
      </c>
      <c r="M62" s="2"/>
    </row>
    <row r="63" spans="1:13" x14ac:dyDescent="0.25">
      <c r="A63" s="2">
        <v>10</v>
      </c>
      <c r="B63" s="2">
        <v>429</v>
      </c>
      <c r="C63" s="2" t="s">
        <v>48</v>
      </c>
      <c r="D63" s="2">
        <v>2662</v>
      </c>
      <c r="E63" s="2" t="s">
        <v>157</v>
      </c>
      <c r="F63" s="2" t="s">
        <v>69</v>
      </c>
      <c r="G63" s="2">
        <v>2</v>
      </c>
      <c r="H63" s="2">
        <v>25</v>
      </c>
      <c r="I63" s="2">
        <v>8</v>
      </c>
      <c r="J63" s="2" t="s">
        <v>57</v>
      </c>
      <c r="K63" s="2" t="s">
        <v>52</v>
      </c>
      <c r="L63" s="2" t="s">
        <v>53</v>
      </c>
      <c r="M63" s="2"/>
    </row>
    <row r="64" spans="1:13" x14ac:dyDescent="0.25">
      <c r="A64" s="2">
        <v>10</v>
      </c>
      <c r="B64" s="2">
        <v>221</v>
      </c>
      <c r="C64" s="2" t="s">
        <v>48</v>
      </c>
      <c r="D64" s="2">
        <v>2662</v>
      </c>
      <c r="E64" s="2" t="s">
        <v>131</v>
      </c>
      <c r="F64" s="2" t="s">
        <v>83</v>
      </c>
      <c r="G64" s="2">
        <v>2</v>
      </c>
      <c r="H64" s="2">
        <v>25</v>
      </c>
      <c r="I64" s="2">
        <v>8</v>
      </c>
      <c r="J64" s="2" t="s">
        <v>81</v>
      </c>
      <c r="K64" s="2" t="s">
        <v>52</v>
      </c>
      <c r="L64" s="2" t="s">
        <v>53</v>
      </c>
      <c r="M64" s="2"/>
    </row>
    <row r="65" spans="1:13" x14ac:dyDescent="0.25">
      <c r="A65" s="2">
        <v>14</v>
      </c>
      <c r="B65" s="2" t="s">
        <v>158</v>
      </c>
      <c r="C65" s="2" t="s">
        <v>63</v>
      </c>
      <c r="D65" s="2">
        <v>176435</v>
      </c>
      <c r="E65" s="2" t="s">
        <v>159</v>
      </c>
      <c r="F65" s="2" t="s">
        <v>160</v>
      </c>
      <c r="G65" s="2">
        <v>2</v>
      </c>
      <c r="H65" s="2">
        <v>39</v>
      </c>
      <c r="I65" s="2" t="s">
        <v>66</v>
      </c>
      <c r="J65" s="2" t="s">
        <v>84</v>
      </c>
      <c r="K65" s="2" t="s">
        <v>52</v>
      </c>
      <c r="L65" s="2" t="s">
        <v>53</v>
      </c>
      <c r="M65" s="2"/>
    </row>
    <row r="66" spans="1:13" x14ac:dyDescent="0.25">
      <c r="A66" s="2">
        <v>10</v>
      </c>
      <c r="B66" s="2">
        <v>419</v>
      </c>
      <c r="C66" s="2" t="s">
        <v>94</v>
      </c>
      <c r="D66" s="2" t="s">
        <v>66</v>
      </c>
      <c r="E66" s="2" t="s">
        <v>66</v>
      </c>
      <c r="F66" s="2" t="s">
        <v>95</v>
      </c>
      <c r="G66" s="2">
        <v>1</v>
      </c>
      <c r="H66" s="2">
        <v>36</v>
      </c>
      <c r="I66" s="2">
        <v>9</v>
      </c>
      <c r="J66" s="2" t="s">
        <v>84</v>
      </c>
      <c r="K66" s="2" t="s">
        <v>52</v>
      </c>
      <c r="L66" s="2" t="s">
        <v>53</v>
      </c>
      <c r="M66" s="2"/>
    </row>
    <row r="67" spans="1:13" x14ac:dyDescent="0.25">
      <c r="A67" s="2">
        <v>11</v>
      </c>
      <c r="B67" s="2">
        <v>206</v>
      </c>
      <c r="C67" s="2" t="s">
        <v>48</v>
      </c>
      <c r="D67" s="2">
        <v>2664</v>
      </c>
      <c r="E67" s="2" t="s">
        <v>161</v>
      </c>
      <c r="F67" s="2" t="s">
        <v>69</v>
      </c>
      <c r="G67" s="2">
        <v>3</v>
      </c>
      <c r="H67" s="2">
        <v>40</v>
      </c>
      <c r="I67" s="2">
        <v>12</v>
      </c>
      <c r="J67" s="2" t="s">
        <v>84</v>
      </c>
      <c r="K67" s="2" t="s">
        <v>52</v>
      </c>
      <c r="L67" s="2" t="s">
        <v>53</v>
      </c>
      <c r="M67" s="2"/>
    </row>
    <row r="68" spans="1:13" x14ac:dyDescent="0.25">
      <c r="A68" s="2">
        <v>11</v>
      </c>
      <c r="B68" s="2" t="s">
        <v>162</v>
      </c>
      <c r="C68" s="2" t="s">
        <v>48</v>
      </c>
      <c r="D68" s="2">
        <v>2665</v>
      </c>
      <c r="E68" s="2" t="s">
        <v>163</v>
      </c>
      <c r="F68" s="2" t="s">
        <v>164</v>
      </c>
      <c r="G68" s="2">
        <v>2</v>
      </c>
      <c r="H68" s="2">
        <v>35</v>
      </c>
      <c r="I68" s="2">
        <v>10</v>
      </c>
      <c r="J68" s="2" t="s">
        <v>84</v>
      </c>
      <c r="K68" s="2" t="s">
        <v>53</v>
      </c>
      <c r="L68" s="2" t="s">
        <v>53</v>
      </c>
      <c r="M68" s="2"/>
    </row>
    <row r="69" spans="1:13" x14ac:dyDescent="0.25">
      <c r="A69" s="2">
        <v>11</v>
      </c>
      <c r="B69" s="2">
        <v>411</v>
      </c>
      <c r="C69" s="2" t="s">
        <v>48</v>
      </c>
      <c r="D69" s="2">
        <v>2669</v>
      </c>
      <c r="E69" s="2" t="s">
        <v>165</v>
      </c>
      <c r="F69" s="2" t="s">
        <v>166</v>
      </c>
      <c r="G69" s="2">
        <v>3</v>
      </c>
      <c r="H69" s="2">
        <v>55</v>
      </c>
      <c r="I69" s="2">
        <v>15</v>
      </c>
      <c r="J69" s="2" t="s">
        <v>81</v>
      </c>
      <c r="K69" s="2" t="s">
        <v>52</v>
      </c>
      <c r="L69" s="2" t="s">
        <v>53</v>
      </c>
      <c r="M69" s="2"/>
    </row>
    <row r="70" spans="1:13" x14ac:dyDescent="0.25">
      <c r="A70" s="2">
        <v>11</v>
      </c>
      <c r="B70" s="2">
        <v>301</v>
      </c>
      <c r="C70" s="2" t="s">
        <v>48</v>
      </c>
      <c r="D70" s="2">
        <v>2671</v>
      </c>
      <c r="E70" s="2" t="s">
        <v>167</v>
      </c>
      <c r="F70" s="2" t="s">
        <v>168</v>
      </c>
      <c r="G70" s="2">
        <v>1</v>
      </c>
      <c r="H70" s="2">
        <v>35</v>
      </c>
      <c r="I70" s="2">
        <v>10</v>
      </c>
      <c r="J70" s="2" t="s">
        <v>73</v>
      </c>
      <c r="K70" s="2" t="s">
        <v>52</v>
      </c>
      <c r="L70" s="2" t="s">
        <v>53</v>
      </c>
      <c r="M70" s="2"/>
    </row>
    <row r="71" spans="1:13" x14ac:dyDescent="0.25">
      <c r="A71" s="2">
        <v>13</v>
      </c>
      <c r="B71" s="2">
        <v>330</v>
      </c>
      <c r="C71" s="2" t="s">
        <v>48</v>
      </c>
      <c r="D71" s="2">
        <v>2667</v>
      </c>
      <c r="E71" s="2" t="s">
        <v>161</v>
      </c>
      <c r="F71" s="2" t="s">
        <v>69</v>
      </c>
      <c r="G71" s="2" t="s">
        <v>169</v>
      </c>
      <c r="H71" s="2">
        <v>35</v>
      </c>
      <c r="I71" s="2">
        <v>10</v>
      </c>
      <c r="J71" s="2" t="s">
        <v>84</v>
      </c>
      <c r="K71" s="2" t="s">
        <v>52</v>
      </c>
      <c r="L71" s="2" t="s">
        <v>53</v>
      </c>
      <c r="M71" s="2"/>
    </row>
    <row r="72" spans="1:13" x14ac:dyDescent="0.25">
      <c r="A72" s="2">
        <v>24</v>
      </c>
      <c r="B72" s="2" t="s">
        <v>170</v>
      </c>
      <c r="C72" s="2" t="s">
        <v>63</v>
      </c>
      <c r="D72" s="2">
        <v>176387</v>
      </c>
      <c r="E72" s="2" t="s">
        <v>171</v>
      </c>
      <c r="F72" s="2" t="s">
        <v>172</v>
      </c>
      <c r="G72" s="2">
        <v>4</v>
      </c>
      <c r="H72" s="2">
        <v>50</v>
      </c>
      <c r="I72" s="2" t="s">
        <v>66</v>
      </c>
      <c r="J72" s="2" t="s">
        <v>84</v>
      </c>
      <c r="K72" s="2" t="s">
        <v>53</v>
      </c>
      <c r="L72" s="2" t="s">
        <v>53</v>
      </c>
      <c r="M72" s="2"/>
    </row>
    <row r="73" spans="1:13" x14ac:dyDescent="0.25">
      <c r="A73" s="2">
        <v>28</v>
      </c>
      <c r="B73" s="2" t="s">
        <v>170</v>
      </c>
      <c r="C73" s="2" t="s">
        <v>63</v>
      </c>
      <c r="D73" s="2">
        <v>176387</v>
      </c>
      <c r="E73" s="2" t="s">
        <v>111</v>
      </c>
      <c r="F73" s="2" t="s">
        <v>50</v>
      </c>
      <c r="G73" s="2">
        <v>4</v>
      </c>
      <c r="H73" s="2">
        <v>39</v>
      </c>
      <c r="I73" s="2" t="s">
        <v>66</v>
      </c>
      <c r="J73" s="2" t="s">
        <v>84</v>
      </c>
      <c r="K73" s="2" t="s">
        <v>53</v>
      </c>
      <c r="L73" s="2" t="s">
        <v>53</v>
      </c>
      <c r="M73" s="2"/>
    </row>
    <row r="74" spans="1:13" x14ac:dyDescent="0.25">
      <c r="A74" s="2">
        <v>26</v>
      </c>
      <c r="B74" s="2" t="s">
        <v>173</v>
      </c>
      <c r="C74" s="2" t="s">
        <v>63</v>
      </c>
      <c r="D74" s="2">
        <v>175992</v>
      </c>
      <c r="E74" s="2" t="s">
        <v>111</v>
      </c>
      <c r="F74" s="2" t="s">
        <v>174</v>
      </c>
      <c r="G74" s="2">
        <v>2</v>
      </c>
      <c r="H74" s="2">
        <v>39</v>
      </c>
      <c r="I74" s="2" t="s">
        <v>66</v>
      </c>
      <c r="J74" s="2" t="s">
        <v>84</v>
      </c>
      <c r="K74" s="2" t="s">
        <v>53</v>
      </c>
      <c r="L74" s="2" t="s">
        <v>53</v>
      </c>
      <c r="M74" s="2"/>
    </row>
    <row r="75" spans="1:13" x14ac:dyDescent="0.25">
      <c r="A75" s="2">
        <v>12</v>
      </c>
      <c r="B75" s="2">
        <v>526</v>
      </c>
      <c r="C75" s="2" t="s">
        <v>48</v>
      </c>
      <c r="D75" s="2">
        <v>2670</v>
      </c>
      <c r="E75" s="2" t="s">
        <v>175</v>
      </c>
      <c r="F75" s="2" t="s">
        <v>156</v>
      </c>
      <c r="G75" s="2">
        <v>2</v>
      </c>
      <c r="H75" s="2">
        <v>25</v>
      </c>
      <c r="I75" s="2">
        <v>8</v>
      </c>
      <c r="J75" s="2" t="s">
        <v>73</v>
      </c>
      <c r="K75" s="2" t="s">
        <v>52</v>
      </c>
      <c r="L75" s="2" t="s">
        <v>53</v>
      </c>
      <c r="M75" s="2"/>
    </row>
    <row r="76" spans="1:13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cols>
    <col min="1" max="1" width="20.140625" bestFit="1" customWidth="1"/>
    <col min="2" max="2" width="9.28515625" customWidth="1"/>
  </cols>
  <sheetData>
    <row r="1" spans="1:2" ht="15.75" x14ac:dyDescent="0.25">
      <c r="A1" s="1"/>
    </row>
    <row r="2" spans="1:2" ht="15.75" x14ac:dyDescent="0.25">
      <c r="B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6E07F0-DE07-4BBA-879F-D1018DFA00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MAPA TOURS_TIPS xlsx</vt:lpstr>
      <vt:lpstr>Nov 25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Recep2</dc:creator>
  <cp:lastModifiedBy>Tejo :: My Story Hotels ::</cp:lastModifiedBy>
  <dcterms:created xsi:type="dcterms:W3CDTF">2015-06-05T18:19:34Z</dcterms:created>
  <dcterms:modified xsi:type="dcterms:W3CDTF">2025-12-05T22:44:04Z</dcterms:modified>
</cp:coreProperties>
</file>