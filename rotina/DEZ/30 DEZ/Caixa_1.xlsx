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00E9E9E-4A5E-4AC6-95DF-640CA7CCEE1E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<sst xmlns="http://schemas.openxmlformats.org/spreadsheetml/2006/main" count="21" uniqueCount="15">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</sst>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5" workbookViewId="0">
      <selection activeCell="D20" sqref="D20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3" x14ac:dyDescent="0.25"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3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3" x14ac:dyDescent="0.25"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3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3" ht="15.75" thickBot="1" x14ac:dyDescent="0.3"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3" ht="15" customHeight="1" x14ac:dyDescent="0.25">
      <c r="B7" s="49" t="s">
        <v>0</v>
      </c>
      <c r="C7" s="50"/>
      <c r="D7" s="50"/>
      <c r="E7" s="50"/>
      <c r="F7" s="50"/>
      <c r="G7" s="50"/>
      <c r="H7" s="50"/>
      <c r="I7" s="50"/>
      <c r="J7" s="50"/>
      <c r="K7" s="51"/>
    </row>
    <row r="8" spans="1:13" ht="15" customHeight="1" thickBot="1" x14ac:dyDescent="0.3">
      <c r="B8" s="52"/>
      <c r="C8" s="53"/>
      <c r="D8" s="53"/>
      <c r="E8" s="53"/>
      <c r="F8" s="53"/>
      <c r="G8" s="53"/>
      <c r="H8" s="53"/>
      <c r="I8" s="53"/>
      <c r="J8" s="53"/>
      <c r="K8" s="54"/>
    </row>
    <row r="9" spans="1:13" x14ac:dyDescent="0.25">
      <c r="B9" s="35"/>
      <c r="C9" s="35"/>
      <c r="D9" s="35"/>
      <c r="E9" s="35"/>
      <c r="F9" s="35"/>
      <c r="G9" s="35"/>
      <c r="H9" s="55"/>
      <c r="I9" s="55"/>
      <c r="J9" s="55"/>
      <c r="K9" s="55"/>
    </row>
    <row r="10" spans="1:13" x14ac:dyDescent="0.2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25">
      <c r="B11" s="35"/>
      <c r="C11" s="35"/>
      <c r="D11" s="35"/>
      <c r="E11" s="35"/>
      <c r="F11" s="35"/>
      <c r="G11" s="35"/>
      <c r="H11" s="55">
        <f ca="1">NOW()</f>
        <v>46021.640245023147</v>
      </c>
      <c r="I11" s="55"/>
      <c r="J11" s="55"/>
      <c r="K11" s="55"/>
    </row>
    <row r="12" spans="1:13" ht="15.75" thickBot="1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ht="15.75" thickBot="1" x14ac:dyDescent="0.3">
      <c r="A13" s="35"/>
      <c r="C13" s="32" t="s">
        <v>1</v>
      </c>
      <c r="D13" s="33"/>
      <c r="E13" s="34" t="s">
        <v>2</v>
      </c>
      <c r="F13" s="35"/>
      <c r="G13" s="35"/>
      <c r="H13" s="35"/>
      <c r="I13" s="35"/>
      <c r="J13" s="35"/>
      <c r="K13" s="35"/>
    </row>
    <row r="14" spans="1:13" ht="21" customHeight="1" x14ac:dyDescent="0.25">
      <c r="A14" s="35"/>
      <c r="B14" s="36" t="s">
        <v>3</v>
      </c>
      <c r="C14" s="29">
        <v>500</v>
      </c>
      <c r="D14" s="30">
        <v>0</v>
      </c>
      <c r="E14" s="31">
        <f>C14*D14</f>
        <v>0</v>
      </c>
      <c r="F14" s="35"/>
      <c r="G14" s="35"/>
      <c r="H14" s="35"/>
      <c r="I14" s="35"/>
      <c r="J14" s="35"/>
      <c r="K14" s="35"/>
      <c r="M14" s="4"/>
    </row>
    <row r="15" spans="1:13" ht="21" customHeight="1" x14ac:dyDescent="0.25">
      <c r="A15" s="35"/>
      <c r="B15" s="37"/>
      <c r="C15" s="27">
        <v>200</v>
      </c>
      <c r="D15" s="5">
        <v>0</v>
      </c>
      <c r="E15" s="3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thickBot="1" x14ac:dyDescent="0.3">
      <c r="A16" s="35"/>
      <c r="B16" s="37"/>
      <c r="C16" s="27">
        <v>100</v>
      </c>
      <c r="D16" s="5">
        <v>0</v>
      </c>
      <c r="E16" s="3">
        <f>C16*D16</f>
        <v>0</v>
      </c>
      <c r="F16" s="35"/>
      <c r="G16" s="35"/>
      <c r="H16" s="35"/>
      <c r="I16" s="35"/>
      <c r="J16" s="35"/>
      <c r="K16" s="35"/>
    </row>
    <row r="17" spans="1:17" ht="21" customHeight="1" thickBot="1" x14ac:dyDescent="0.4">
      <c r="A17" s="35"/>
      <c r="B17" s="37"/>
      <c r="C17" s="27">
        <v>50</v>
      </c>
      <c r="D17" s="5">
        <v>0</v>
      </c>
      <c r="E17" s="3">
        <f t="shared" ref="E17:E20" si="1">C17*D17</f>
        <v>0</v>
      </c>
      <c r="F17" s="35"/>
      <c r="G17" s="39" t="s">
        <v>4</v>
      </c>
      <c r="H17" s="40"/>
      <c r="J17" s="41">
        <f>SUM(E14:E20)</f>
        <v>40</v>
      </c>
      <c r="K17" s="42"/>
    </row>
    <row r="18" spans="1:17" ht="21" customHeight="1" x14ac:dyDescent="0.25">
      <c r="A18" s="35"/>
      <c r="B18" s="37"/>
      <c r="C18" s="27">
        <v>20</v>
      </c>
      <c r="D18" s="5">
        <v>1</v>
      </c>
      <c r="E18" s="3">
        <f t="shared" si="1"/>
        <v>20</v>
      </c>
      <c r="F18" s="35"/>
      <c r="G18" s="35"/>
      <c r="H18" s="35"/>
      <c r="I18" s="35"/>
      <c r="J18" s="35"/>
      <c r="K18" s="35"/>
    </row>
    <row r="19" spans="1:17" ht="21" customHeight="1" x14ac:dyDescent="0.25">
      <c r="A19" s="35"/>
      <c r="B19" s="37"/>
      <c r="C19" s="27">
        <v>10</v>
      </c>
      <c r="D19" s="5">
        <v>2</v>
      </c>
      <c r="E19" s="3">
        <f t="shared" si="1"/>
        <v>20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thickBot="1" x14ac:dyDescent="0.3">
      <c r="A20" s="35"/>
      <c r="B20" s="38"/>
      <c r="C20" s="28">
        <v>5</v>
      </c>
      <c r="D20" s="6">
        <v>0</v>
      </c>
      <c r="E20" s="3">
        <f t="shared" si="1"/>
        <v>0</v>
      </c>
      <c r="F20" s="35"/>
      <c r="G20" s="35"/>
      <c r="H20" s="35"/>
      <c r="I20" s="35"/>
      <c r="J20" s="35"/>
      <c r="K20" s="35"/>
    </row>
    <row r="21" spans="1:17" ht="4.5" customHeight="1" thickBot="1" x14ac:dyDescent="0.3">
      <c r="A21" s="35"/>
      <c r="D21" s="7"/>
      <c r="F21" s="35"/>
      <c r="G21" s="35"/>
      <c r="H21" s="35"/>
      <c r="I21" s="35"/>
      <c r="J21" s="35"/>
      <c r="K21" s="35"/>
    </row>
    <row r="22" spans="1:17" ht="21" customHeight="1" x14ac:dyDescent="0.25">
      <c r="A22" s="35"/>
      <c r="B22" s="43" t="s">
        <v>6</v>
      </c>
      <c r="C22" s="28">
        <v>2</v>
      </c>
      <c r="D22" s="8">
        <v>0</v>
      </c>
      <c r="E22" s="9">
        <f>C22*D22</f>
        <v>0</v>
      </c>
      <c r="F22" s="35"/>
      <c r="G22" s="35"/>
      <c r="H22" s="35"/>
      <c r="I22" s="35"/>
      <c r="J22" s="35"/>
      <c r="K22" s="35"/>
      <c r="Q22" s="10"/>
    </row>
    <row r="23" spans="1:17" ht="21" customHeight="1" x14ac:dyDescent="0.25">
      <c r="A23" s="35"/>
      <c r="B23" s="44"/>
      <c r="C23" s="28">
        <v>1</v>
      </c>
      <c r="D23" s="11">
        <v>0</v>
      </c>
      <c r="E23" s="9">
        <f t="shared" ref="E23:E29" si="2">C23*D23</f>
        <v>0</v>
      </c>
      <c r="F23" s="35"/>
      <c r="G23" s="35"/>
      <c r="H23" s="35"/>
      <c r="I23" s="35"/>
      <c r="J23" s="35"/>
      <c r="K23" s="35"/>
    </row>
    <row r="24" spans="1:17" ht="21" customHeight="1" thickBot="1" x14ac:dyDescent="0.3">
      <c r="A24" s="35"/>
      <c r="B24" s="44"/>
      <c r="C24" s="28">
        <v>0.5</v>
      </c>
      <c r="D24" s="11">
        <v>0</v>
      </c>
      <c r="E24" s="9">
        <f t="shared" si="2"/>
        <v>0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thickBot="1" x14ac:dyDescent="0.4">
      <c r="A25" s="35"/>
      <c r="B25" s="44"/>
      <c r="C25" s="28">
        <v>0.2</v>
      </c>
      <c r="D25" s="11">
        <v>14</v>
      </c>
      <c r="E25" s="9">
        <f t="shared" si="2"/>
        <v>2.8000000000000003</v>
      </c>
      <c r="F25" s="35"/>
      <c r="G25" s="39" t="s">
        <v>7</v>
      </c>
      <c r="H25" s="40"/>
      <c r="J25" s="41">
        <f>SUM(E22:E29)</f>
        <v>6.9</v>
      </c>
      <c r="K25" s="42"/>
    </row>
    <row r="26" spans="1:17" ht="21" customHeight="1" x14ac:dyDescent="0.25">
      <c r="A26" s="35"/>
      <c r="B26" s="44"/>
      <c r="C26" s="28">
        <v>0.1</v>
      </c>
      <c r="D26" s="11">
        <v>34</v>
      </c>
      <c r="E26" s="9">
        <f t="shared" si="2"/>
        <v>3.4000000000000004</v>
      </c>
      <c r="F26" s="35"/>
      <c r="G26" s="35"/>
      <c r="H26" s="35"/>
      <c r="I26" s="35"/>
      <c r="J26" s="35"/>
      <c r="K26" s="35"/>
    </row>
    <row r="27" spans="1:17" ht="20.25" customHeight="1" x14ac:dyDescent="0.25">
      <c r="A27" s="35"/>
      <c r="B27" s="44"/>
      <c r="C27" s="28">
        <v>0.05</v>
      </c>
      <c r="D27" s="11">
        <v>12</v>
      </c>
      <c r="E27" s="9">
        <f>C27*D27</f>
        <v>0.60000000000000009</v>
      </c>
      <c r="F27" s="35"/>
      <c r="G27" s="35"/>
      <c r="H27" s="35"/>
      <c r="I27" s="35"/>
      <c r="J27" s="35"/>
      <c r="K27" s="35"/>
    </row>
    <row r="28" spans="1:17" ht="21" customHeight="1" x14ac:dyDescent="0.25">
      <c r="A28" s="35"/>
      <c r="B28" s="44"/>
      <c r="C28" s="28">
        <v>0.02</v>
      </c>
      <c r="D28" s="11">
        <v>5</v>
      </c>
      <c r="E28" s="9">
        <f t="shared" si="2"/>
        <v>0.1</v>
      </c>
      <c r="F28" s="35"/>
      <c r="G28" s="35"/>
      <c r="H28" s="35"/>
      <c r="I28" s="35"/>
      <c r="J28" s="35"/>
      <c r="K28" s="35"/>
    </row>
    <row r="29" spans="1:17" ht="21" customHeight="1" thickBot="1" x14ac:dyDescent="0.3">
      <c r="A29" s="35"/>
      <c r="B29" s="45"/>
      <c r="C29" s="28">
        <v>0.01</v>
      </c>
      <c r="D29" s="12">
        <v>0</v>
      </c>
      <c r="E29" s="9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thickBo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25">
      <c r="A32" s="35"/>
      <c r="B32" s="97"/>
      <c r="C32" s="97"/>
      <c r="D32" s="97"/>
      <c r="E32" s="98" t="s">
        <v>8</v>
      </c>
      <c r="F32" s="99"/>
      <c r="G32" s="99"/>
      <c r="H32" s="100"/>
      <c r="I32" s="35"/>
      <c r="J32" s="104">
        <f>J17+J25</f>
        <v>46.9</v>
      </c>
      <c r="K32" s="105"/>
      <c r="L32" s="13"/>
      <c r="N32" s="13"/>
    </row>
    <row r="33" spans="1:18" ht="15.75" customHeight="1" thickBot="1" x14ac:dyDescent="0.3">
      <c r="A33" s="35"/>
      <c r="B33" s="97"/>
      <c r="C33" s="97"/>
      <c r="D33" s="97"/>
      <c r="E33" s="101"/>
      <c r="F33" s="102"/>
      <c r="G33" s="102"/>
      <c r="H33" s="103"/>
      <c r="I33" s="35"/>
      <c r="J33" s="106"/>
      <c r="K33" s="107"/>
    </row>
    <row r="34" spans="1:18" ht="5.25" customHeight="1" thickBot="1" x14ac:dyDescent="0.3">
      <c r="A34" s="35"/>
      <c r="B34" s="97"/>
      <c r="C34" s="97"/>
      <c r="D34" s="97"/>
      <c r="E34" s="35"/>
      <c r="F34" s="35"/>
      <c r="G34" s="35"/>
      <c r="H34" s="35"/>
      <c r="I34" s="35"/>
      <c r="J34" s="35"/>
      <c r="K34" s="35"/>
    </row>
    <row r="35" spans="1:18" ht="15" customHeight="1" x14ac:dyDescent="0.25">
      <c r="A35" s="35"/>
      <c r="B35" s="97"/>
      <c r="C35" s="97"/>
      <c r="D35" s="97"/>
      <c r="E35" s="62" t="s">
        <v>9</v>
      </c>
      <c r="F35" s="63"/>
      <c r="G35" s="63"/>
      <c r="H35" s="64"/>
      <c r="I35" s="35"/>
      <c r="J35" s="68">
        <f>SUM(363 + 184.5 + 48.9 + 49.04 + 18.98 + 16 + 58.38 + 97.94)</f>
        <v>836.74</v>
      </c>
      <c r="K35" s="69"/>
      <c r="L35" s="56" t="s">
        <v>14</v>
      </c>
      <c r="M35" s="56"/>
      <c r="N35" s="14"/>
    </row>
    <row r="36" spans="1:18" ht="15" customHeight="1" thickBot="1" x14ac:dyDescent="0.3">
      <c r="A36" s="35"/>
      <c r="B36" s="97"/>
      <c r="C36" s="97"/>
      <c r="D36" s="97"/>
      <c r="E36" s="65"/>
      <c r="F36" s="66"/>
      <c r="G36" s="66"/>
      <c r="H36" s="67"/>
      <c r="I36" s="35"/>
      <c r="J36" s="70"/>
      <c r="K36" s="71"/>
      <c r="L36" s="56"/>
      <c r="M36" s="56"/>
      <c r="N36" t="s">
        <v>5</v>
      </c>
    </row>
    <row r="37" spans="1:18" ht="5.25" customHeight="1" x14ac:dyDescent="0.25">
      <c r="A37" s="35"/>
      <c r="B37" s="97"/>
      <c r="C37" s="97"/>
      <c r="D37" s="97"/>
      <c r="E37" s="35"/>
      <c r="F37" s="35"/>
      <c r="G37" s="35"/>
      <c r="H37" s="35"/>
      <c r="I37" s="35"/>
      <c r="J37" s="35"/>
      <c r="K37" s="35"/>
    </row>
    <row r="38" spans="1:18" ht="5.25" customHeight="1" thickBot="1" x14ac:dyDescent="0.3">
      <c r="A38" s="35"/>
      <c r="B38" s="97"/>
      <c r="C38" s="97"/>
      <c r="D38" s="97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5"/>
      <c r="B39" s="97"/>
      <c r="C39" s="97"/>
      <c r="D39" s="97"/>
      <c r="E39" s="49" t="s">
        <v>10</v>
      </c>
      <c r="F39" s="50"/>
      <c r="G39" s="50"/>
      <c r="H39" s="51"/>
      <c r="I39" s="35"/>
      <c r="J39" s="57">
        <f>SUM(7.99+10.27+14.95+12.1+9+2.5)</f>
        <v>56.809999999999995</v>
      </c>
      <c r="K39" s="58"/>
      <c r="L39" s="61"/>
      <c r="M39" s="61"/>
      <c r="N39" s="16"/>
    </row>
    <row r="40" spans="1:18" ht="15" customHeight="1" thickBot="1" x14ac:dyDescent="0.3">
      <c r="A40" s="35"/>
      <c r="B40" s="97"/>
      <c r="C40" s="97"/>
      <c r="D40" s="97"/>
      <c r="E40" s="52"/>
      <c r="F40" s="53"/>
      <c r="G40" s="53"/>
      <c r="H40" s="54"/>
      <c r="I40" s="35"/>
      <c r="J40" s="59"/>
      <c r="K40" s="60"/>
      <c r="L40" s="61"/>
      <c r="M40" s="61"/>
      <c r="N40" s="17"/>
    </row>
    <row r="41" spans="1:18" ht="5.25" customHeight="1" thickBot="1" x14ac:dyDescent="0.3">
      <c r="A41" s="35"/>
      <c r="B41" s="97"/>
      <c r="C41" s="97"/>
      <c r="D41" s="97"/>
      <c r="E41" s="35"/>
      <c r="F41" s="35"/>
      <c r="G41" s="35"/>
      <c r="H41" s="35"/>
      <c r="I41" s="35"/>
      <c r="J41" s="35"/>
      <c r="K41" s="35"/>
      <c r="M41" s="16"/>
    </row>
    <row r="42" spans="1:18" x14ac:dyDescent="0.25">
      <c r="A42" s="35"/>
      <c r="B42" s="97"/>
      <c r="C42" s="97"/>
      <c r="D42" s="97"/>
      <c r="E42" s="72" t="s">
        <v>11</v>
      </c>
      <c r="F42" s="73"/>
      <c r="G42" s="73"/>
      <c r="H42" s="74"/>
      <c r="I42" s="35"/>
      <c r="J42" s="78">
        <v>103.71</v>
      </c>
      <c r="K42" s="79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35"/>
      <c r="B43" s="97"/>
      <c r="C43" s="97"/>
      <c r="D43" s="97"/>
      <c r="E43" s="75"/>
      <c r="F43" s="76"/>
      <c r="G43" s="76"/>
      <c r="H43" s="77"/>
      <c r="I43" s="35"/>
      <c r="J43" s="80"/>
      <c r="K43" s="81"/>
      <c r="M43" s="20"/>
    </row>
    <row r="44" spans="1:18" ht="5.25" customHeight="1" thickBot="1" x14ac:dyDescent="0.3">
      <c r="A44" s="35"/>
      <c r="B44" s="97"/>
      <c r="C44" s="97"/>
      <c r="D44" s="97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25">
      <c r="A45" s="35"/>
      <c r="B45" s="97"/>
      <c r="C45" s="97"/>
      <c r="D45" s="97"/>
      <c r="E45" s="82" t="s">
        <v>12</v>
      </c>
      <c r="F45" s="83"/>
      <c r="G45" s="83"/>
      <c r="H45" s="84"/>
      <c r="I45" s="35"/>
      <c r="J45" s="88">
        <f>(J39+J32)-J42</f>
        <v>0</v>
      </c>
      <c r="K45" s="89"/>
      <c r="L45" s="94"/>
      <c r="M45" s="95"/>
      <c r="N45" s="21"/>
      <c r="O45" s="22"/>
      <c r="P45" s="23"/>
      <c r="Q45" s="24"/>
      <c r="R45" s="23"/>
    </row>
    <row r="46" spans="1:18" ht="0.75" customHeight="1" thickBot="1" x14ac:dyDescent="0.3">
      <c r="A46" s="35"/>
      <c r="B46" s="97"/>
      <c r="C46" s="97"/>
      <c r="D46" s="97"/>
      <c r="E46" s="85"/>
      <c r="F46" s="86"/>
      <c r="G46" s="86"/>
      <c r="H46" s="87"/>
      <c r="I46" s="35"/>
      <c r="J46" s="90"/>
      <c r="K46" s="91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35"/>
      <c r="B47" s="97"/>
      <c r="C47" s="97"/>
      <c r="D47" s="97"/>
      <c r="E47" s="35"/>
      <c r="F47" s="35"/>
      <c r="G47" s="35"/>
      <c r="H47" s="35"/>
      <c r="I47" s="35"/>
      <c r="J47" s="35"/>
      <c r="K47" s="35"/>
      <c r="L47" s="96"/>
      <c r="M47" s="96"/>
      <c r="N47" s="96"/>
      <c r="O47" s="96"/>
      <c r="P47" s="96"/>
      <c r="Q47" s="96"/>
      <c r="R47" s="96"/>
    </row>
    <row r="48" spans="1:18" ht="15.75" x14ac:dyDescent="0.25">
      <c r="A48" s="35"/>
      <c r="B48" s="46"/>
      <c r="C48" s="46"/>
      <c r="D48" s="46"/>
      <c r="E48" s="47" t="s">
        <v>5</v>
      </c>
      <c r="F48" s="47"/>
      <c r="G48" s="47"/>
      <c r="H48" s="47"/>
      <c r="I48" s="26"/>
      <c r="J48" s="47"/>
      <c r="K48" s="47"/>
      <c r="L48" s="96"/>
      <c r="M48" s="96"/>
      <c r="N48" s="96"/>
      <c r="O48" s="96"/>
      <c r="P48" s="96"/>
      <c r="Q48" s="96"/>
      <c r="R48" s="96"/>
    </row>
    <row r="49" spans="1:18" ht="3" customHeight="1" x14ac:dyDescent="0.25">
      <c r="A49" s="35"/>
      <c r="B49" s="93" t="s">
        <v>5</v>
      </c>
      <c r="C49" s="93"/>
      <c r="D49" s="93"/>
      <c r="E49" s="93"/>
      <c r="F49" s="93"/>
      <c r="G49" s="93"/>
      <c r="H49" s="93"/>
      <c r="I49" s="93"/>
      <c r="J49" s="93"/>
      <c r="K49" s="93"/>
    </row>
    <row r="50" spans="1:18" ht="18.75" customHeight="1" x14ac:dyDescent="0.25">
      <c r="A50" s="35"/>
      <c r="B50" s="46"/>
      <c r="C50" s="46"/>
      <c r="D50" s="46"/>
      <c r="E50" s="47" t="s">
        <v>5</v>
      </c>
      <c r="F50" s="47"/>
      <c r="G50" s="47"/>
      <c r="H50" s="47"/>
      <c r="I50" s="26"/>
      <c r="J50" s="92"/>
      <c r="K50" s="93"/>
      <c r="L50" s="48"/>
      <c r="M50" s="48"/>
      <c r="N50" s="48"/>
      <c r="O50" s="48"/>
      <c r="P50" s="48"/>
      <c r="Q50" s="48"/>
      <c r="R50" s="48"/>
    </row>
    <row r="51" spans="1:18" ht="15.75" x14ac:dyDescent="0.25">
      <c r="J51" s="92"/>
      <c r="K51" s="93"/>
      <c r="L51" s="47"/>
      <c r="M51" s="47"/>
      <c r="N51" s="47"/>
      <c r="O51" s="4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  <mergeCell ref="E42:H43"/>
    <mergeCell ref="I42:I43"/>
    <mergeCell ref="J42:K43"/>
    <mergeCell ref="E44:K44"/>
    <mergeCell ref="E45:H46"/>
    <mergeCell ref="I45:I46"/>
    <mergeCell ref="J45:K46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B1:K6"/>
    <mergeCell ref="B7:K8"/>
    <mergeCell ref="B9:G12"/>
    <mergeCell ref="H9:K9"/>
    <mergeCell ref="H11:K11"/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2025-12-30T15:22:19Z</dcterms:modified>
</cp:coreProperties>
</file>