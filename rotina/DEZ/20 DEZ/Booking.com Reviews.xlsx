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13_ncr:1_{4E7D3204-238D-4BCF-9F29-48307DB618DA}" xr6:coauthVersionLast="47" xr6:coauthVersionMax="47" xr10:uidLastSave="{00000000-0000-0000-0000-000000000000}"/>
  <bookViews>
    <workbookView xWindow="10785" yWindow="0" windowWidth="18015" windowHeight="15480" xr2:uid="{00000000-000D-0000-FFFF-FFFF00000000}"/>
  </bookViews>
  <sheets>
    <sheet name="Dezembro 2025" sheetId="2" r:id="rId1"/>
  </sheets>
  <definedNames>
    <definedName name="_xlnm.Print_Area" localSheetId="0">'Dezembro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H4" i="2"/>
  <c r="G15" i="2"/>
  <c r="B4" i="2"/>
  <c r="G4" i="2" s="1"/>
  <c r="H15" i="2"/>
  <c r="C14" i="2"/>
  <c r="C13" i="2"/>
  <c r="C12" i="2"/>
  <c r="C11" i="2"/>
  <c r="C10" i="2"/>
  <c r="C9" i="2"/>
  <c r="C8" i="2"/>
  <c r="C7" i="2"/>
  <c r="C6" i="2"/>
  <c r="C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<sst xmlns="http://schemas.openxmlformats.org/spreadsheetml/2006/main" count="19" uniqueCount="19">
  <si>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</si>
  <si>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</si>
  <si>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</si>
  <si>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</si>
  <si>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</si>
  <si>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</si>
  <si>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</si>
  <si>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</si>
  <si>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</si>
  <si>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</si>
  <si>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</si>
  <si>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</si>
  <si>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</si>
  <si>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</si>
  <si>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</si>
  <si>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</si>
  <si>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</si>
  <si>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</si>
  <si>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Rel.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</si>
</sst>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6" borderId="14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166" fontId="5" fillId="6" borderId="21" xfId="0" applyNumberFormat="1" applyFont="1" applyFill="1" applyBorder="1" applyAlignment="1" applyProtection="1">
      <alignment horizontal="center" vertical="center"/>
      <protection locked="0"/>
    </xf>
    <xf numFmtId="166" fontId="5" fillId="6" borderId="23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 applyProtection="1">
      <alignment horizontal="center" vertical="center"/>
      <protection locked="0"/>
    </xf>
    <xf numFmtId="165" fontId="2" fillId="5" borderId="20" xfId="0" applyNumberFormat="1" applyFont="1" applyFill="1" applyBorder="1" applyAlignment="1" applyProtection="1">
      <alignment horizontal="center" vertical="center"/>
      <protection locked="0"/>
    </xf>
    <xf numFmtId="165" fontId="2" fillId="3" borderId="9" xfId="0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zoomScaleNormal="100" workbookViewId="0">
      <selection activeCell="F21" sqref="F21"/>
    </sheetView>
  </sheetViews>
  <sheetFormatPr defaultRowHeight="15" x14ac:dyDescent="0.25"/>
  <cols>
    <col min="1" max="2" width="20.5703125" customWidth="1"/>
    <col min="3" max="3" width="20.5703125" hidden="1" customWidth="1"/>
    <col min="4" max="4" width="26" customWidth="1"/>
    <col min="5" max="5" width="0.42578125" customWidth="1"/>
    <col min="6" max="8" width="20.5703125" customWidth="1"/>
  </cols>
  <sheetData>
    <row r="1" spans="1:8" x14ac:dyDescent="0.25">
      <c r="A1" s="23" t="s">
        <v>15</v>
      </c>
      <c r="B1" s="24"/>
      <c r="C1" s="24"/>
      <c r="D1" s="24"/>
      <c r="E1" s="24"/>
      <c r="F1" s="24"/>
      <c r="G1" s="24"/>
      <c r="H1" s="25"/>
    </row>
    <row r="2" spans="1:8" ht="15.75" thickBot="1" x14ac:dyDescent="0.3">
      <c r="A2" s="26"/>
      <c r="B2" s="27"/>
      <c r="C2" s="27"/>
      <c r="D2" s="27"/>
      <c r="E2" s="27"/>
      <c r="F2" s="27"/>
      <c r="G2" s="27"/>
      <c r="H2" s="28"/>
    </row>
    <row r="3" spans="1:8" ht="15.75" x14ac:dyDescent="0.25">
      <c r="A3" s="38" t="s">
        <v>5</v>
      </c>
      <c r="B3" s="35" t="s">
        <v>14</v>
      </c>
      <c r="C3" s="36"/>
      <c r="D3" s="36"/>
      <c r="E3" s="37"/>
      <c r="F3" s="38" t="s">
        <v>1</v>
      </c>
      <c r="G3" s="29" t="s">
        <v>12</v>
      </c>
      <c r="H3" s="30"/>
    </row>
    <row r="4" spans="1:8" ht="15.75" thickBot="1" x14ac:dyDescent="0.3">
      <c r="A4" s="39"/>
      <c r="B4" s="33">
        <f>D4-1</f>
        <v>46010</v>
      </c>
      <c r="C4" s="34"/>
      <c r="D4" s="31">
        <v>46011</v>
      </c>
      <c r="E4" s="32"/>
      <c r="F4" s="39"/>
      <c r="G4" s="16">
        <f>B4</f>
        <v>46010</v>
      </c>
      <c r="H4" s="13">
        <f>D4</f>
        <v>46011</v>
      </c>
    </row>
    <row r="5" spans="1:8" x14ac:dyDescent="0.25">
      <c r="A5" s="1">
        <v>10</v>
      </c>
      <c r="B5" s="19">
        <v>2190</v>
      </c>
      <c r="C5" s="2">
        <f t="shared" ref="C5:C14" si="0">B5*A5</f>
        <v>21900</v>
      </c>
      <c r="D5" s="19">
        <v>2180</v>
      </c>
      <c r="E5" s="2">
        <f t="shared" ref="E5:E14" si="1">D5*A5</f>
        <v>21800</v>
      </c>
      <c r="F5" s="1" t="s">
        <v>3</v>
      </c>
      <c r="G5" s="21">
        <v>9.1999999999999993</v>
      </c>
      <c r="H5" s="21">
        <v>9.1999999999999993</v>
      </c>
    </row>
    <row r="6" spans="1:8" x14ac:dyDescent="0.25">
      <c r="A6" s="3">
        <v>9</v>
      </c>
      <c r="B6" s="19">
        <v>2169</v>
      </c>
      <c r="C6" s="4">
        <f t="shared" si="0"/>
        <v>19521</v>
      </c>
      <c r="D6" s="19">
        <v>2164</v>
      </c>
      <c r="E6" s="4">
        <f t="shared" si="1"/>
        <v>19476</v>
      </c>
      <c r="F6" s="3" t="s">
        <v>4</v>
      </c>
      <c r="G6" s="21">
        <v>9.3000000000000007</v>
      </c>
      <c r="H6" s="21">
        <v>9.3000000000000007</v>
      </c>
    </row>
    <row r="7" spans="1:8" x14ac:dyDescent="0.25">
      <c r="A7" s="3">
        <v>8</v>
      </c>
      <c r="B7" s="19">
        <v>1427</v>
      </c>
      <c r="C7" s="4">
        <f t="shared" si="0"/>
        <v>11416</v>
      </c>
      <c r="D7" s="19">
        <v>1426</v>
      </c>
      <c r="E7" s="4">
        <f t="shared" si="1"/>
        <v>11408</v>
      </c>
      <c r="F7" s="3" t="s">
        <v>18</v>
      </c>
      <c r="G7" s="21">
        <v>8.6999999999999993</v>
      </c>
      <c r="H7" s="21">
        <v>8.6999999999999993</v>
      </c>
    </row>
    <row r="8" spans="1:8" x14ac:dyDescent="0.25">
      <c r="A8" s="3">
        <v>7</v>
      </c>
      <c r="B8" s="19">
        <v>344</v>
      </c>
      <c r="C8" s="4">
        <f t="shared" si="0"/>
        <v>2408</v>
      </c>
      <c r="D8" s="19">
        <v>342</v>
      </c>
      <c r="E8" s="4">
        <f t="shared" si="1"/>
        <v>2394</v>
      </c>
      <c r="F8" s="3" t="s">
        <v>7</v>
      </c>
      <c r="G8" s="21">
        <v>8.9</v>
      </c>
      <c r="H8" s="21">
        <v>8.9</v>
      </c>
    </row>
    <row r="9" spans="1:8" x14ac:dyDescent="0.25">
      <c r="A9" s="3">
        <v>6</v>
      </c>
      <c r="B9" s="19">
        <v>71</v>
      </c>
      <c r="C9" s="4">
        <f t="shared" si="0"/>
        <v>426</v>
      </c>
      <c r="D9" s="19">
        <v>70</v>
      </c>
      <c r="E9" s="4">
        <f t="shared" si="1"/>
        <v>420</v>
      </c>
      <c r="F9" s="3" t="s">
        <v>6</v>
      </c>
      <c r="G9" s="21">
        <v>9.3000000000000007</v>
      </c>
      <c r="H9" s="21">
        <v>9.3000000000000007</v>
      </c>
    </row>
    <row r="10" spans="1:8" x14ac:dyDescent="0.25">
      <c r="A10" s="3">
        <v>5</v>
      </c>
      <c r="B10" s="19">
        <v>52</v>
      </c>
      <c r="C10" s="4">
        <f t="shared" si="0"/>
        <v>260</v>
      </c>
      <c r="D10" s="19">
        <v>52</v>
      </c>
      <c r="E10" s="4">
        <f t="shared" si="1"/>
        <v>260</v>
      </c>
      <c r="F10" s="3" t="s">
        <v>2</v>
      </c>
      <c r="G10" s="21">
        <v>9.6999999999999993</v>
      </c>
      <c r="H10" s="21">
        <v>9.6999999999999993</v>
      </c>
    </row>
    <row r="11" spans="1:8" x14ac:dyDescent="0.25">
      <c r="A11" s="3">
        <v>4</v>
      </c>
      <c r="B11" s="19">
        <v>17</v>
      </c>
      <c r="C11" s="4">
        <f t="shared" si="0"/>
        <v>68</v>
      </c>
      <c r="D11" s="19">
        <v>17</v>
      </c>
      <c r="E11" s="4">
        <f t="shared" si="1"/>
        <v>68</v>
      </c>
      <c r="F11" s="3" t="s">
        <v>9</v>
      </c>
      <c r="G11" s="21">
        <v>9</v>
      </c>
      <c r="H11" s="21">
        <v>9</v>
      </c>
    </row>
    <row r="12" spans="1:8" x14ac:dyDescent="0.25">
      <c r="A12" s="3">
        <v>3</v>
      </c>
      <c r="B12" s="19">
        <v>13</v>
      </c>
      <c r="C12" s="4">
        <f t="shared" si="0"/>
        <v>39</v>
      </c>
      <c r="D12" s="19">
        <v>13</v>
      </c>
      <c r="E12" s="4">
        <f t="shared" si="1"/>
        <v>39</v>
      </c>
      <c r="F12" s="3" t="s">
        <v>11</v>
      </c>
      <c r="G12" s="21">
        <v>9</v>
      </c>
      <c r="H12" s="21">
        <v>9</v>
      </c>
    </row>
    <row r="13" spans="1:8" x14ac:dyDescent="0.25">
      <c r="A13" s="3">
        <v>2</v>
      </c>
      <c r="B13" s="19">
        <v>9</v>
      </c>
      <c r="C13" s="4">
        <f t="shared" si="0"/>
        <v>18</v>
      </c>
      <c r="D13" s="19">
        <v>9</v>
      </c>
      <c r="E13" s="4">
        <f t="shared" si="1"/>
        <v>18</v>
      </c>
      <c r="F13" s="3" t="s">
        <v>8</v>
      </c>
      <c r="G13" s="21">
        <v>9.1999999999999993</v>
      </c>
      <c r="H13" s="21">
        <v>9.1999999999999993</v>
      </c>
    </row>
    <row r="14" spans="1:8" ht="15.75" thickBot="1" x14ac:dyDescent="0.3">
      <c r="A14" s="5">
        <v>1</v>
      </c>
      <c r="B14" s="20">
        <v>7</v>
      </c>
      <c r="C14" s="6">
        <f t="shared" si="0"/>
        <v>7</v>
      </c>
      <c r="D14" s="20">
        <v>7</v>
      </c>
      <c r="E14" s="6">
        <f t="shared" si="1"/>
        <v>7</v>
      </c>
      <c r="F14" s="5" t="s">
        <v>10</v>
      </c>
      <c r="G14" s="22">
        <v>6.9</v>
      </c>
      <c r="H14" s="22">
        <v>6.9</v>
      </c>
    </row>
    <row r="15" spans="1:8" ht="15.75" x14ac:dyDescent="0.25">
      <c r="A15" s="14" t="s">
        <v>13</v>
      </c>
      <c r="B15" s="7">
        <f>SUM(B5:B14)</f>
        <v>6299</v>
      </c>
      <c r="C15" s="7">
        <f>SUM(C5:C14)</f>
        <v>56063</v>
      </c>
      <c r="D15" s="7">
        <f>SUM(D5:D14)</f>
        <v>6280</v>
      </c>
      <c r="E15" s="8">
        <f>SUM(E5:E14)</f>
        <v>55890</v>
      </c>
      <c r="F15" s="14" t="s">
        <v>17</v>
      </c>
      <c r="G15" s="17">
        <f>AVERAGE(G5:G14)</f>
        <v>8.9200000000000017</v>
      </c>
      <c r="H15" s="17">
        <f>AVERAGE(H5:H14)</f>
        <v>8.9200000000000017</v>
      </c>
    </row>
    <row r="16" spans="1:8" ht="16.5" thickBot="1" x14ac:dyDescent="0.3">
      <c r="A16" s="15" t="s">
        <v>0</v>
      </c>
      <c r="B16" s="9">
        <f>C15/B15</f>
        <v>8.9003016351801865</v>
      </c>
      <c r="C16" s="12"/>
      <c r="D16" s="9">
        <f>E15/D15</f>
        <v>8.8996815286624198</v>
      </c>
      <c r="E16" s="10"/>
      <c r="F16" s="15" t="s">
        <v>16</v>
      </c>
      <c r="G16" s="11">
        <v>8.9</v>
      </c>
      <c r="H16" s="11">
        <v>8.9</v>
      </c>
    </row>
    <row r="17" spans="7:7" x14ac:dyDescent="0.25">
      <c r="G17" s="18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Dezembro 2025</vt:lpstr>
      <vt:lpstr>'Dezembro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2025-12-20T01:00:33Z</dcterms:modified>
</cp:coreProperties>
</file>