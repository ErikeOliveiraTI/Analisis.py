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Z:\01. FO Tejo\02. Night Auditor\Relatórios &amp; Ficheiros\Relatorios\"/>
    </mc:Choice>
  </mc:AlternateContent>
  <xr:revisionPtr revIDLastSave="0" documentId="13_ncr:1_{144E121C-A5FA-46EA-8FC2-3D9A39635B5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Julho 2025" sheetId="2" r:id="rId1"/>
  </sheets>
  <definedNames>
    <definedName name="_xlnm.Print_Area" localSheetId="0">'Julho 2025'!$A$1:$H$16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2" l="1"/>
  <c r="G4" i="2" s="1"/>
  <c r="D15" i="2"/>
  <c r="H4" i="2"/>
  <c r="C14" i="2"/>
  <c r="C13" i="2"/>
  <c r="C12" i="2"/>
  <c r="C11" i="2"/>
  <c r="C10" i="2"/>
  <c r="C9" i="2"/>
  <c r="C8" i="2"/>
  <c r="C7" i="2"/>
  <c r="C6" i="2"/>
  <c r="C5" i="2"/>
  <c r="G15" i="2"/>
  <c r="H15" i="2"/>
  <c r="B15" i="2"/>
  <c r="E5" i="2"/>
  <c r="E6" i="2"/>
  <c r="E7" i="2"/>
  <c r="E8" i="2"/>
  <c r="E9" i="2"/>
  <c r="E10" i="2"/>
  <c r="E11" i="2"/>
  <c r="E12" i="2"/>
  <c r="E13" i="2"/>
  <c r="E14" i="2"/>
  <c r="C15" i="2" l="1"/>
  <c r="B16" i="2" s="1"/>
  <c r="E15" i="2"/>
  <c r="D16" i="2" s="1"/>
</calcChain>
</file>

<file path=xl/sharedStrings.xml><?xml version="1.0" encoding="utf-8"?>
<sst xmlns="http://schemas.openxmlformats.org/spreadsheetml/2006/main" count="19" uniqueCount="19">
  <si>
    <t>Pontuação Geral</t>
  </si>
  <si>
    <t>Categorias</t>
  </si>
  <si>
    <t>Localização</t>
  </si>
  <si>
    <t>Funcionários</t>
  </si>
  <si>
    <t>Limpeza</t>
  </si>
  <si>
    <t>Classificação Geral</t>
  </si>
  <si>
    <t>Conforto</t>
  </si>
  <si>
    <t>Comodidades</t>
  </si>
  <si>
    <t>Pontuação da Cama</t>
  </si>
  <si>
    <t>Pequeno-Almoço</t>
  </si>
  <si>
    <t>Vista do Quarto</t>
  </si>
  <si>
    <t>Wi-Fi</t>
  </si>
  <si>
    <t>Pontuação</t>
  </si>
  <si>
    <t>Total Comentários</t>
  </si>
  <si>
    <t>Nº Comentários</t>
  </si>
  <si>
    <t>My Story Hotel Tejo - Booking.com</t>
  </si>
  <si>
    <t>Review Score</t>
  </si>
  <si>
    <t>Total Categorias</t>
  </si>
  <si>
    <t>Rel. Preço-Qualidade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</si>
</sst>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816]d\-mmm\-yy;@"/>
    <numFmt numFmtId="166" formatCode="0.0"/>
  </numFmts>
  <fonts count="7" x14ac:knownFonts="1">
    <font>
      <sz val="11"/>
      <color theme="1"/>
      <name val="Calibri"/>
      <family val="2"/>
      <scheme val="minor"/>
    </font>
    <font>
      <b/>
      <sz val="12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11"/>
      <color rgb="FF000000"/>
      <name val="Calibri Light"/>
      <family val="2"/>
      <scheme val="major"/>
    </font>
    <font>
      <b/>
      <sz val="14"/>
      <color theme="1"/>
      <name val="Calibri Light"/>
      <family val="2"/>
      <scheme val="major"/>
    </font>
    <font>
      <sz val="11"/>
      <color rgb="FF000000"/>
      <name val="Calibri Light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2CC"/>
        <bgColor rgb="FF000000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3" fillId="4" borderId="15" xfId="0" applyFont="1" applyFill="1" applyBorder="1" applyAlignment="1">
      <alignment horizontal="center" vertical="center"/>
    </xf>
    <xf numFmtId="0" fontId="3" fillId="5" borderId="16" xfId="0" applyFont="1" applyFill="1" applyBorder="1" applyAlignment="1" applyProtection="1">
      <alignment horizontal="center" vertical="center"/>
      <protection locked="0"/>
    </xf>
    <xf numFmtId="0" fontId="3" fillId="4" borderId="17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5" borderId="1" xfId="0" applyFont="1" applyFill="1" applyBorder="1" applyAlignment="1" applyProtection="1">
      <alignment horizontal="center" vertical="center"/>
      <protection locked="0"/>
    </xf>
    <xf numFmtId="0" fontId="3" fillId="4" borderId="6" xfId="0" applyFont="1" applyFill="1" applyBorder="1" applyAlignment="1">
      <alignment horizontal="center" vertical="center"/>
    </xf>
    <xf numFmtId="0" fontId="3" fillId="4" borderId="14" xfId="0" applyFont="1" applyFill="1" applyBorder="1" applyAlignment="1">
      <alignment horizontal="center" vertical="center"/>
    </xf>
    <xf numFmtId="0" fontId="3" fillId="5" borderId="12" xfId="0" applyFont="1" applyFill="1" applyBorder="1" applyAlignment="1" applyProtection="1">
      <alignment horizontal="center" vertical="center"/>
      <protection locked="0"/>
    </xf>
    <xf numFmtId="0" fontId="3" fillId="4" borderId="1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164" fontId="3" fillId="3" borderId="8" xfId="0" applyNumberFormat="1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166" fontId="3" fillId="5" borderId="8" xfId="0" applyNumberFormat="1" applyFont="1" applyFill="1" applyBorder="1" applyAlignment="1" applyProtection="1">
      <alignment horizontal="center" vertical="center"/>
      <protection locked="0"/>
    </xf>
    <xf numFmtId="166" fontId="3" fillId="5" borderId="9" xfId="0" applyNumberFormat="1" applyFont="1" applyFill="1" applyBorder="1" applyAlignment="1" applyProtection="1">
      <alignment horizontal="center" vertical="center"/>
      <protection locked="0"/>
    </xf>
    <xf numFmtId="0" fontId="3" fillId="3" borderId="8" xfId="0" applyFont="1" applyFill="1" applyBorder="1" applyAlignment="1">
      <alignment horizontal="center" vertical="center"/>
    </xf>
    <xf numFmtId="165" fontId="2" fillId="3" borderId="9" xfId="0" applyNumberFormat="1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165" fontId="2" fillId="3" borderId="8" xfId="0" applyNumberFormat="1" applyFont="1" applyFill="1" applyBorder="1" applyAlignment="1">
      <alignment horizontal="center" vertical="center"/>
    </xf>
    <xf numFmtId="166" fontId="4" fillId="5" borderId="23" xfId="0" applyNumberFormat="1" applyFont="1" applyFill="1" applyBorder="1" applyAlignment="1" applyProtection="1">
      <alignment horizontal="center" vertical="center"/>
      <protection locked="0"/>
    </xf>
    <xf numFmtId="166" fontId="4" fillId="5" borderId="24" xfId="0" applyNumberFormat="1" applyFont="1" applyFill="1" applyBorder="1" applyAlignment="1" applyProtection="1">
      <alignment horizontal="center" vertical="center"/>
      <protection locked="0"/>
    </xf>
    <xf numFmtId="166" fontId="4" fillId="5" borderId="25" xfId="0" applyNumberFormat="1" applyFont="1" applyFill="1" applyBorder="1" applyAlignment="1" applyProtection="1">
      <alignment horizontal="center" vertical="center"/>
      <protection locked="0"/>
    </xf>
    <xf numFmtId="2" fontId="3" fillId="3" borderId="3" xfId="0" applyNumberFormat="1" applyFont="1" applyFill="1" applyBorder="1" applyAlignment="1">
      <alignment horizontal="center" vertical="center"/>
    </xf>
    <xf numFmtId="2" fontId="3" fillId="3" borderId="4" xfId="0" applyNumberFormat="1" applyFont="1" applyFill="1" applyBorder="1" applyAlignment="1">
      <alignment horizontal="center" vertical="center"/>
    </xf>
    <xf numFmtId="166" fontId="0" fillId="0" borderId="0" xfId="0" applyNumberFormat="1"/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165" fontId="2" fillId="5" borderId="10" xfId="0" applyNumberFormat="1" applyFont="1" applyFill="1" applyBorder="1" applyAlignment="1" applyProtection="1">
      <alignment horizontal="center" vertical="center"/>
      <protection locked="0"/>
    </xf>
    <xf numFmtId="165" fontId="2" fillId="5" borderId="22" xfId="0" applyNumberFormat="1" applyFont="1" applyFill="1" applyBorder="1" applyAlignment="1" applyProtection="1">
      <alignment horizontal="center" vertical="center"/>
      <protection locked="0"/>
    </xf>
    <xf numFmtId="165" fontId="2" fillId="3" borderId="10" xfId="0" applyNumberFormat="1" applyFont="1" applyFill="1" applyBorder="1" applyAlignment="1">
      <alignment horizontal="center" vertical="center"/>
    </xf>
    <xf numFmtId="165" fontId="2" fillId="3" borderId="22" xfId="0" applyNumberFormat="1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20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/>
    </xf>
    <xf numFmtId="0" fontId="6" fillId="6" borderId="16" xfId="0" applyFont="1" applyFill="1" applyBorder="1" applyAlignment="1" applyProtection="1">
      <alignment horizontal="center" vertical="center"/>
      <protection locked="0"/>
    </xf>
    <xf numFmtId="0" fontId="6" fillId="6" borderId="26" xfId="0" applyFont="1" applyFill="1" applyBorder="1" applyAlignment="1" applyProtection="1">
      <alignment horizontal="center" vertical="center"/>
      <protection locked="0"/>
    </xf>
    <xf numFmtId="166" fontId="6" fillId="6" borderId="23" xfId="0" applyNumberFormat="1" applyFont="1" applyFill="1" applyBorder="1" applyAlignment="1" applyProtection="1">
      <alignment horizontal="center" vertical="center"/>
      <protection locked="0"/>
    </xf>
    <xf numFmtId="166" fontId="6" fillId="6" borderId="27" xfId="0" applyNumberFormat="1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49D87-682A-4A2E-8E4B-AE88D1C6E40F}">
  <sheetPr>
    <pageSetUpPr fitToPage="1"/>
  </sheetPr>
  <dimension ref="A1:H17"/>
  <sheetViews>
    <sheetView tabSelected="1" topLeftCell="B1" zoomScaleNormal="100" workbookViewId="0">
      <selection activeCell="H11" sqref="H11"/>
    </sheetView>
  </sheetViews>
  <sheetFormatPr defaultRowHeight="15" x14ac:dyDescent="0.25"/>
  <cols>
    <col min="1" max="2" width="20.5703125" customWidth="1"/>
    <col min="3" max="3" width="20.5703125" hidden="1" customWidth="1"/>
    <col min="4" max="4" width="20.5703125" customWidth="1"/>
    <col min="5" max="5" width="20.5703125" hidden="1" customWidth="1"/>
    <col min="6" max="8" width="20.5703125" customWidth="1"/>
  </cols>
  <sheetData>
    <row r="1" spans="1:8" x14ac:dyDescent="0.25">
      <c r="A1" s="27" t="s">
        <v>15</v>
      </c>
      <c r="B1" s="28"/>
      <c r="C1" s="28"/>
      <c r="D1" s="28"/>
      <c r="E1" s="28"/>
      <c r="F1" s="28"/>
      <c r="G1" s="28"/>
      <c r="H1" s="29"/>
    </row>
    <row r="2" spans="1:8" ht="15.75" thickBot="1" x14ac:dyDescent="0.3">
      <c r="A2" s="30"/>
      <c r="B2" s="31"/>
      <c r="C2" s="31"/>
      <c r="D2" s="31"/>
      <c r="E2" s="31"/>
      <c r="F2" s="31"/>
      <c r="G2" s="31"/>
      <c r="H2" s="32"/>
    </row>
    <row r="3" spans="1:8" ht="15.75" x14ac:dyDescent="0.25">
      <c r="A3" s="42" t="s">
        <v>5</v>
      </c>
      <c r="B3" s="39" t="s">
        <v>14</v>
      </c>
      <c r="C3" s="40"/>
      <c r="D3" s="40"/>
      <c r="E3" s="41"/>
      <c r="F3" s="42" t="s">
        <v>1</v>
      </c>
      <c r="G3" s="33" t="s">
        <v>12</v>
      </c>
      <c r="H3" s="34"/>
    </row>
    <row r="4" spans="1:8" ht="15.75" thickBot="1" x14ac:dyDescent="0.3">
      <c r="A4" s="43"/>
      <c r="B4" s="37">
        <f>D4-1</f>
        <v>45935</v>
      </c>
      <c r="C4" s="38"/>
      <c r="D4" s="35">
        <v>45936</v>
      </c>
      <c r="E4" s="36"/>
      <c r="F4" s="43"/>
      <c r="G4" s="20">
        <f>B4</f>
        <v>45935</v>
      </c>
      <c r="H4" s="17">
        <f>D4</f>
        <v>45936</v>
      </c>
    </row>
    <row r="5" spans="1:8" x14ac:dyDescent="0.25">
      <c r="A5" s="1">
        <v>10</v>
      </c>
      <c r="B5" s="2">
        <v>2255</v>
      </c>
      <c r="C5" s="3">
        <f t="shared" ref="C5:C14" si="0">B5*A5</f>
        <v>22550</v>
      </c>
      <c r="D5" s="44">
        <v>2256</v>
      </c>
      <c r="E5" s="3">
        <f t="shared" ref="E5:E14" si="1">D5*A5</f>
        <v>22560</v>
      </c>
      <c r="F5" s="1" t="s">
        <v>3</v>
      </c>
      <c r="G5" s="21">
        <v>9.1</v>
      </c>
      <c r="H5" s="46">
        <v>9.1</v>
      </c>
    </row>
    <row r="6" spans="1:8" x14ac:dyDescent="0.25">
      <c r="A6" s="4">
        <v>9</v>
      </c>
      <c r="B6" s="5">
        <v>2232</v>
      </c>
      <c r="C6" s="6">
        <f t="shared" si="0"/>
        <v>20088</v>
      </c>
      <c r="D6" s="44">
        <v>2232</v>
      </c>
      <c r="E6" s="6">
        <f t="shared" si="1"/>
        <v>20088</v>
      </c>
      <c r="F6" s="4" t="s">
        <v>4</v>
      </c>
      <c r="G6" s="22">
        <v>9.3000000000000007</v>
      </c>
      <c r="H6" s="46">
        <v>9.3000000000000007</v>
      </c>
    </row>
    <row r="7" spans="1:8" x14ac:dyDescent="0.25">
      <c r="A7" s="4">
        <v>8</v>
      </c>
      <c r="B7" s="5">
        <v>1453</v>
      </c>
      <c r="C7" s="6">
        <f t="shared" si="0"/>
        <v>11624</v>
      </c>
      <c r="D7" s="44">
        <v>1455</v>
      </c>
      <c r="E7" s="6">
        <f t="shared" si="1"/>
        <v>11640</v>
      </c>
      <c r="F7" s="4" t="s">
        <v>18</v>
      </c>
      <c r="G7" s="22">
        <v>8.6999999999999993</v>
      </c>
      <c r="H7" s="46">
        <v>8.6999999999999993</v>
      </c>
    </row>
    <row r="8" spans="1:8" x14ac:dyDescent="0.25">
      <c r="A8" s="4">
        <v>7</v>
      </c>
      <c r="B8" s="5">
        <v>348</v>
      </c>
      <c r="C8" s="6">
        <f t="shared" si="0"/>
        <v>2436</v>
      </c>
      <c r="D8" s="44">
        <v>348</v>
      </c>
      <c r="E8" s="6">
        <f t="shared" si="1"/>
        <v>2436</v>
      </c>
      <c r="F8" s="4" t="s">
        <v>7</v>
      </c>
      <c r="G8" s="22">
        <v>8.9</v>
      </c>
      <c r="H8" s="46">
        <v>8.9</v>
      </c>
    </row>
    <row r="9" spans="1:8" x14ac:dyDescent="0.25">
      <c r="A9" s="4">
        <v>6</v>
      </c>
      <c r="B9" s="5">
        <v>73</v>
      </c>
      <c r="C9" s="6">
        <f t="shared" si="0"/>
        <v>438</v>
      </c>
      <c r="D9" s="44">
        <v>73</v>
      </c>
      <c r="E9" s="6">
        <f t="shared" si="1"/>
        <v>438</v>
      </c>
      <c r="F9" s="4" t="s">
        <v>6</v>
      </c>
      <c r="G9" s="22">
        <v>9.3000000000000007</v>
      </c>
      <c r="H9" s="46">
        <v>9.3000000000000007</v>
      </c>
    </row>
    <row r="10" spans="1:8" x14ac:dyDescent="0.25">
      <c r="A10" s="4">
        <v>5</v>
      </c>
      <c r="B10" s="5">
        <v>54</v>
      </c>
      <c r="C10" s="6">
        <f t="shared" si="0"/>
        <v>270</v>
      </c>
      <c r="D10" s="44">
        <v>54</v>
      </c>
      <c r="E10" s="6">
        <f t="shared" si="1"/>
        <v>270</v>
      </c>
      <c r="F10" s="4" t="s">
        <v>2</v>
      </c>
      <c r="G10" s="22">
        <v>9.6999999999999993</v>
      </c>
      <c r="H10" s="46">
        <v>9.6999999999999993</v>
      </c>
    </row>
    <row r="11" spans="1:8" x14ac:dyDescent="0.25">
      <c r="A11" s="4">
        <v>4</v>
      </c>
      <c r="B11" s="5">
        <v>18</v>
      </c>
      <c r="C11" s="6">
        <f t="shared" si="0"/>
        <v>72</v>
      </c>
      <c r="D11" s="44">
        <v>18</v>
      </c>
      <c r="E11" s="6">
        <f t="shared" si="1"/>
        <v>72</v>
      </c>
      <c r="F11" s="4" t="s">
        <v>9</v>
      </c>
      <c r="G11" s="22">
        <v>9.1</v>
      </c>
      <c r="H11" s="46">
        <v>9.1</v>
      </c>
    </row>
    <row r="12" spans="1:8" x14ac:dyDescent="0.25">
      <c r="A12" s="4">
        <v>3</v>
      </c>
      <c r="B12" s="5">
        <v>13</v>
      </c>
      <c r="C12" s="6">
        <f t="shared" si="0"/>
        <v>39</v>
      </c>
      <c r="D12" s="44">
        <v>13</v>
      </c>
      <c r="E12" s="6">
        <f t="shared" si="1"/>
        <v>39</v>
      </c>
      <c r="F12" s="4" t="s">
        <v>11</v>
      </c>
      <c r="G12" s="22">
        <v>9</v>
      </c>
      <c r="H12" s="46">
        <v>9</v>
      </c>
    </row>
    <row r="13" spans="1:8" x14ac:dyDescent="0.25">
      <c r="A13" s="4">
        <v>2</v>
      </c>
      <c r="B13" s="5">
        <v>9</v>
      </c>
      <c r="C13" s="6">
        <f t="shared" si="0"/>
        <v>18</v>
      </c>
      <c r="D13" s="44">
        <v>9</v>
      </c>
      <c r="E13" s="6">
        <f t="shared" si="1"/>
        <v>18</v>
      </c>
      <c r="F13" s="4" t="s">
        <v>8</v>
      </c>
      <c r="G13" s="22">
        <v>9.1999999999999993</v>
      </c>
      <c r="H13" s="46">
        <v>9.1999999999999993</v>
      </c>
    </row>
    <row r="14" spans="1:8" ht="15.75" thickBot="1" x14ac:dyDescent="0.3">
      <c r="A14" s="7">
        <v>1</v>
      </c>
      <c r="B14" s="8">
        <v>8</v>
      </c>
      <c r="C14" s="9">
        <f t="shared" si="0"/>
        <v>8</v>
      </c>
      <c r="D14" s="45">
        <v>8</v>
      </c>
      <c r="E14" s="9">
        <f t="shared" si="1"/>
        <v>8</v>
      </c>
      <c r="F14" s="7" t="s">
        <v>10</v>
      </c>
      <c r="G14" s="23">
        <v>6.9</v>
      </c>
      <c r="H14" s="47">
        <v>6.7</v>
      </c>
    </row>
    <row r="15" spans="1:8" ht="15.75" x14ac:dyDescent="0.25">
      <c r="A15" s="18" t="s">
        <v>13</v>
      </c>
      <c r="B15" s="10">
        <f>SUM(B5:B14)</f>
        <v>6463</v>
      </c>
      <c r="C15" s="10">
        <f>SUM(C5:C14)</f>
        <v>57543</v>
      </c>
      <c r="D15" s="10">
        <f>SUM(D5:D14)</f>
        <v>6466</v>
      </c>
      <c r="E15" s="11">
        <f>SUM(E5:E14)</f>
        <v>57569</v>
      </c>
      <c r="F15" s="18" t="s">
        <v>17</v>
      </c>
      <c r="G15" s="24">
        <f>AVERAGE(G5:G14)</f>
        <v>8.92</v>
      </c>
      <c r="H15" s="25">
        <f>AVERAGE(H5:H14)</f>
        <v>8.9</v>
      </c>
    </row>
    <row r="16" spans="1:8" ht="16.5" thickBot="1" x14ac:dyDescent="0.3">
      <c r="A16" s="19" t="s">
        <v>0</v>
      </c>
      <c r="B16" s="12">
        <f>C15/B15</f>
        <v>8.9034504100263039</v>
      </c>
      <c r="C16" s="16"/>
      <c r="D16" s="12">
        <f>E15/D15</f>
        <v>8.9033405505722243</v>
      </c>
      <c r="E16" s="13"/>
      <c r="F16" s="19" t="s">
        <v>16</v>
      </c>
      <c r="G16" s="14">
        <v>9</v>
      </c>
      <c r="H16" s="15">
        <v>8.9</v>
      </c>
    </row>
    <row r="17" spans="7:7" x14ac:dyDescent="0.25">
      <c r="G17" s="26"/>
    </row>
  </sheetData>
  <mergeCells count="7">
    <mergeCell ref="A1:H2"/>
    <mergeCell ref="G3:H3"/>
    <mergeCell ref="D4:E4"/>
    <mergeCell ref="B4:C4"/>
    <mergeCell ref="B3:E3"/>
    <mergeCell ref="A3:A4"/>
    <mergeCell ref="F3:F4"/>
  </mergeCells>
  <printOptions horizontalCentered="1"/>
  <pageMargins left="0" right="0" top="0.39370078740157483" bottom="0" header="0" footer="0"/>
  <pageSetup paperSize="9" orientation="landscape" horizontalDpi="4294967295" verticalDpi="4294967295" r:id="rId1"/>
  <ignoredErrors>
    <ignoredError sqref="D15 B15" formulaRange="1"/>
    <ignoredError sqref="G4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</vt:i4>
      </vt:variant>
      <vt:variant>
        <vt:lpstr>Intervalos com Nome</vt:lpstr>
      </vt:variant>
      <vt:variant>
        <vt:i4>1</vt:i4>
      </vt:variant>
    </vt:vector>
  </HeadingPairs>
  <TitlesOfParts>
    <vt:vector size="2" baseType="lpstr">
      <vt:lpstr>Julho 2025</vt:lpstr>
      <vt:lpstr>'Julho 2025'!Área_de_Impressão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Recepção 1 Augusta</dc:creator>
  <cp:lastModifiedBy>Tejo :: My Story Hotels ::</cp:lastModifiedBy>
  <cp:lastPrinted>2024-02-06T17:25:08Z</cp:lastPrinted>
  <dcterms:created xsi:type="dcterms:W3CDTF">2015-06-05T18:19:34Z</dcterms:created>
  <dcterms:modified xsi:type="dcterms:W3CDTF">2025-11-07T07:03:16Z</dcterms:modified>
</cp:coreProperties>
</file>