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440C06D-557E-4749-9165-7D048DB2EC88}" xr6:coauthVersionLast="47" xr6:coauthVersionMax="47" xr10:uidLastSave="{00000000-0000-0000-0000-000000000000}"/>
  <bookViews>
    <workbookView xWindow="-120" yWindow="-120" windowWidth="29040" windowHeight="15840" activeTab="3" xr2:uid="{2474CBB1-6277-4F67-8E90-F2A8D2862989}"/>
  </bookViews>
  <sheets>
    <sheet name="Ago.25" sheetId="7" r:id="rId1"/>
    <sheet name="Set.25" sheetId="6" r:id="rId2"/>
    <sheet name="Out.25" sheetId="16" r:id="rId3"/>
    <sheet name="Nov.25" sheetId="9" r:id="rId4"/>
    <sheet name="Dez.25" sheetId="10" r:id="rId5"/>
    <sheet name="Jan.26" sheetId="11" r:id="rId6"/>
    <sheet name="Fev. 26" sheetId="12" r:id="rId7"/>
    <sheet name="Mar.26" sheetId="13" r:id="rId8"/>
    <sheet name="Abr. 26" sheetId="14" r:id="rId9"/>
    <sheet name="Mai.26" sheetId="15" r:id="rId10"/>
  </sheets>
  <definedNames>
    <definedName name="_xlnm._FilterDatabase" localSheetId="8" hidden="1">'Abr. 26'!$A$1:$L$2</definedName>
    <definedName name="_xlnm._FilterDatabase" localSheetId="0" hidden="1">Ago.25!$A$1:$L$166</definedName>
    <definedName name="_xlnm._FilterDatabase" localSheetId="4" hidden="1">Dez.25!$A$1:$L$2</definedName>
    <definedName name="_xlnm._FilterDatabase" localSheetId="6" hidden="1">'Fev. 26'!$A$1:$L$2</definedName>
    <definedName name="_xlnm._FilterDatabase" localSheetId="5" hidden="1">Jan.26!$A$1:$L$2</definedName>
    <definedName name="_xlnm._FilterDatabase" localSheetId="9" hidden="1">Mai.26!$A$1:$L$2</definedName>
    <definedName name="_xlnm._FilterDatabase" localSheetId="7" hidden="1">Mar.26!$A$1:$L$2</definedName>
    <definedName name="_xlnm._FilterDatabase" localSheetId="3" hidden="1">Nov.25!$A$1:$L$62</definedName>
    <definedName name="_xlnm._FilterDatabase" localSheetId="2" hidden="1">Out.25!$A$1:$L$193</definedName>
    <definedName name="_xlnm._FilterDatabase" localSheetId="1" hidden="1">Set.25!$A$1:$L$230</definedName>
    <definedName name="LISTAPARCEIR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2" i="16" l="1"/>
  <c r="P50" i="16"/>
  <c r="P49" i="16"/>
  <c r="P48" i="16"/>
  <c r="P47" i="16"/>
  <c r="P46" i="16"/>
  <c r="P45" i="16"/>
  <c r="P44" i="16"/>
  <c r="P43" i="16"/>
  <c r="P40" i="16"/>
  <c r="P39" i="16"/>
  <c r="P38" i="16"/>
  <c r="P37" i="16"/>
  <c r="P36" i="16"/>
  <c r="P35" i="16"/>
  <c r="P34" i="16"/>
  <c r="S28" i="16"/>
  <c r="S27" i="16"/>
  <c r="S26" i="16"/>
  <c r="S25" i="16"/>
  <c r="S24" i="16"/>
  <c r="S23" i="16"/>
  <c r="S22" i="16"/>
  <c r="S21" i="16"/>
  <c r="S18" i="16"/>
  <c r="S17" i="16"/>
  <c r="S16" i="16"/>
  <c r="S15" i="16"/>
  <c r="S14" i="16"/>
  <c r="S13" i="16"/>
  <c r="S12" i="16"/>
  <c r="P28" i="16"/>
  <c r="P27" i="16"/>
  <c r="P26" i="16"/>
  <c r="P25" i="16"/>
  <c r="P24" i="16"/>
  <c r="P23" i="16"/>
  <c r="P22" i="16"/>
  <c r="P21" i="16"/>
  <c r="P18" i="16"/>
  <c r="P17" i="16"/>
  <c r="P16" i="16"/>
  <c r="P15" i="16"/>
  <c r="P14" i="16"/>
  <c r="P13" i="16"/>
  <c r="R46" i="16"/>
  <c r="P49" i="9"/>
  <c r="P48" i="9"/>
  <c r="P47" i="9"/>
  <c r="P46" i="9"/>
  <c r="P45" i="9"/>
  <c r="P44" i="9"/>
  <c r="P43" i="9"/>
  <c r="P42" i="9"/>
  <c r="P39" i="9"/>
  <c r="P38" i="9"/>
  <c r="P37" i="9"/>
  <c r="P36" i="9"/>
  <c r="P35" i="9"/>
  <c r="P34" i="9"/>
  <c r="P33" i="9"/>
  <c r="S27" i="9"/>
  <c r="S26" i="9"/>
  <c r="S25" i="9"/>
  <c r="S24" i="9"/>
  <c r="S23" i="9"/>
  <c r="S22" i="9"/>
  <c r="S21" i="9"/>
  <c r="S20" i="9"/>
  <c r="S17" i="9"/>
  <c r="S16" i="9"/>
  <c r="S15" i="9"/>
  <c r="S14" i="9"/>
  <c r="S13" i="9"/>
  <c r="S12" i="9"/>
  <c r="S11" i="9"/>
  <c r="P27" i="9"/>
  <c r="P26" i="9"/>
  <c r="P25" i="9"/>
  <c r="P24" i="9"/>
  <c r="P23" i="9"/>
  <c r="P22" i="9"/>
  <c r="P21" i="9"/>
  <c r="P20" i="9"/>
  <c r="P17" i="9"/>
  <c r="P16" i="9"/>
  <c r="P15" i="9"/>
  <c r="P14" i="9"/>
  <c r="P13" i="9"/>
  <c r="P12" i="9"/>
  <c r="O2" i="9"/>
  <c r="O2" i="16"/>
  <c r="P2" i="16" s="1"/>
  <c r="U25" i="16"/>
  <c r="P7" i="16"/>
  <c r="O7" i="16"/>
  <c r="O6" i="16"/>
  <c r="P6" i="16" s="1"/>
  <c r="Q5" i="16"/>
  <c r="P5" i="16"/>
  <c r="O5" i="16"/>
  <c r="Q4" i="16"/>
  <c r="U36" i="16" s="1"/>
  <c r="O4" i="16"/>
  <c r="P4" i="16" s="1"/>
  <c r="R4" i="16" s="1"/>
  <c r="Q3" i="16"/>
  <c r="U35" i="16" s="1"/>
  <c r="P3" i="16"/>
  <c r="O3" i="16"/>
  <c r="Q2" i="16"/>
  <c r="U34" i="16" s="1"/>
  <c r="R46" i="6"/>
  <c r="S22" i="6"/>
  <c r="P50" i="15"/>
  <c r="P49" i="15"/>
  <c r="P48" i="15"/>
  <c r="P47" i="15"/>
  <c r="R46" i="15"/>
  <c r="P46" i="15"/>
  <c r="P45" i="15"/>
  <c r="P44" i="15"/>
  <c r="P43" i="15"/>
  <c r="P40" i="15"/>
  <c r="P39" i="15"/>
  <c r="P38" i="15"/>
  <c r="P37" i="15"/>
  <c r="P36" i="15"/>
  <c r="P35" i="15"/>
  <c r="P34" i="15"/>
  <c r="S28" i="15"/>
  <c r="P28" i="15"/>
  <c r="S27" i="15"/>
  <c r="P27" i="15"/>
  <c r="S26" i="15"/>
  <c r="P26" i="15"/>
  <c r="U25" i="15"/>
  <c r="S25" i="15"/>
  <c r="P25" i="15"/>
  <c r="S24" i="15"/>
  <c r="P24" i="15"/>
  <c r="S23" i="15"/>
  <c r="P23" i="15"/>
  <c r="S22" i="15"/>
  <c r="P22" i="15"/>
  <c r="S21" i="15"/>
  <c r="P21" i="15"/>
  <c r="S18" i="15"/>
  <c r="P18" i="15"/>
  <c r="S17" i="15"/>
  <c r="P17" i="15"/>
  <c r="S16" i="15"/>
  <c r="P16" i="15"/>
  <c r="S15" i="15"/>
  <c r="P15" i="15"/>
  <c r="S14" i="15"/>
  <c r="P14" i="15"/>
  <c r="S13" i="15"/>
  <c r="P13" i="15"/>
  <c r="S12" i="15"/>
  <c r="P12" i="15"/>
  <c r="P7" i="15"/>
  <c r="O7" i="15"/>
  <c r="O6" i="15"/>
  <c r="P6" i="15" s="1"/>
  <c r="Q5" i="15"/>
  <c r="P5" i="15"/>
  <c r="O5" i="15"/>
  <c r="Q4" i="15"/>
  <c r="U36" i="15" s="1"/>
  <c r="O4" i="15"/>
  <c r="Q3" i="15"/>
  <c r="P3" i="15"/>
  <c r="O3" i="15"/>
  <c r="Q2" i="15"/>
  <c r="U34" i="15" s="1"/>
  <c r="O2" i="15"/>
  <c r="P50" i="14"/>
  <c r="P49" i="14"/>
  <c r="P48" i="14"/>
  <c r="P47" i="14"/>
  <c r="R46" i="14"/>
  <c r="P46" i="14"/>
  <c r="P45" i="14"/>
  <c r="P44" i="14"/>
  <c r="P43" i="14"/>
  <c r="P40" i="14"/>
  <c r="P39" i="14"/>
  <c r="P38" i="14"/>
  <c r="P37" i="14"/>
  <c r="P36" i="14"/>
  <c r="P35" i="14"/>
  <c r="P34" i="14"/>
  <c r="S28" i="14"/>
  <c r="P28" i="14"/>
  <c r="S27" i="14"/>
  <c r="P27" i="14"/>
  <c r="S26" i="14"/>
  <c r="P26" i="14"/>
  <c r="U25" i="14"/>
  <c r="S25" i="14"/>
  <c r="P25" i="14"/>
  <c r="S24" i="14"/>
  <c r="P24" i="14"/>
  <c r="S23" i="14"/>
  <c r="P23" i="14"/>
  <c r="S22" i="14"/>
  <c r="P22" i="14"/>
  <c r="S21" i="14"/>
  <c r="P21" i="14"/>
  <c r="S18" i="14"/>
  <c r="P18" i="14"/>
  <c r="S17" i="14"/>
  <c r="P17" i="14"/>
  <c r="S16" i="14"/>
  <c r="P16" i="14"/>
  <c r="S15" i="14"/>
  <c r="P15" i="14"/>
  <c r="S14" i="14"/>
  <c r="P14" i="14"/>
  <c r="S13" i="14"/>
  <c r="P13" i="14"/>
  <c r="S12" i="14"/>
  <c r="P12" i="14"/>
  <c r="P7" i="14"/>
  <c r="O7" i="14"/>
  <c r="O6" i="14"/>
  <c r="P6" i="14" s="1"/>
  <c r="Q5" i="14"/>
  <c r="P5" i="14"/>
  <c r="O5" i="14"/>
  <c r="Q4" i="14"/>
  <c r="U36" i="14" s="1"/>
  <c r="O4" i="14"/>
  <c r="Q3" i="14"/>
  <c r="P3" i="14"/>
  <c r="O3" i="14"/>
  <c r="Q2" i="14"/>
  <c r="U34" i="14" s="1"/>
  <c r="O2" i="14"/>
  <c r="P50" i="13"/>
  <c r="P49" i="13"/>
  <c r="P48" i="13"/>
  <c r="P47" i="13"/>
  <c r="R46" i="13"/>
  <c r="P46" i="13"/>
  <c r="P45" i="13"/>
  <c r="P44" i="13"/>
  <c r="P43" i="13"/>
  <c r="P40" i="13"/>
  <c r="P39" i="13"/>
  <c r="P38" i="13"/>
  <c r="P37" i="13"/>
  <c r="P36" i="13"/>
  <c r="P35" i="13"/>
  <c r="P34" i="13"/>
  <c r="S28" i="13"/>
  <c r="P28" i="13"/>
  <c r="S27" i="13"/>
  <c r="P27" i="13"/>
  <c r="S26" i="13"/>
  <c r="P26" i="13"/>
  <c r="U25" i="13"/>
  <c r="S25" i="13"/>
  <c r="P25" i="13"/>
  <c r="S24" i="13"/>
  <c r="P24" i="13"/>
  <c r="S23" i="13"/>
  <c r="P23" i="13"/>
  <c r="S22" i="13"/>
  <c r="P22" i="13"/>
  <c r="S21" i="13"/>
  <c r="P21" i="13"/>
  <c r="S18" i="13"/>
  <c r="P18" i="13"/>
  <c r="S17" i="13"/>
  <c r="P17" i="13"/>
  <c r="S16" i="13"/>
  <c r="P16" i="13"/>
  <c r="S15" i="13"/>
  <c r="P15" i="13"/>
  <c r="S14" i="13"/>
  <c r="P14" i="13"/>
  <c r="S13" i="13"/>
  <c r="P13" i="13"/>
  <c r="S12" i="13"/>
  <c r="P12" i="13"/>
  <c r="P7" i="13"/>
  <c r="O7" i="13"/>
  <c r="O6" i="13"/>
  <c r="P6" i="13" s="1"/>
  <c r="Q5" i="13"/>
  <c r="P5" i="13"/>
  <c r="O5" i="13"/>
  <c r="Q4" i="13"/>
  <c r="U36" i="13" s="1"/>
  <c r="O4" i="13"/>
  <c r="Q3" i="13"/>
  <c r="P3" i="13"/>
  <c r="O3" i="13"/>
  <c r="Q2" i="13"/>
  <c r="U34" i="13" s="1"/>
  <c r="O2" i="13"/>
  <c r="P50" i="12"/>
  <c r="P49" i="12"/>
  <c r="P48" i="12"/>
  <c r="P47" i="12"/>
  <c r="R46" i="12"/>
  <c r="P46" i="12"/>
  <c r="P45" i="12"/>
  <c r="P44" i="12"/>
  <c r="P43" i="12"/>
  <c r="P40" i="12"/>
  <c r="P39" i="12"/>
  <c r="P38" i="12"/>
  <c r="P37" i="12"/>
  <c r="P36" i="12"/>
  <c r="P35" i="12"/>
  <c r="P34" i="12"/>
  <c r="S28" i="12"/>
  <c r="P28" i="12"/>
  <c r="S27" i="12"/>
  <c r="P27" i="12"/>
  <c r="S26" i="12"/>
  <c r="P26" i="12"/>
  <c r="U25" i="12"/>
  <c r="S25" i="12"/>
  <c r="P25" i="12"/>
  <c r="S24" i="12"/>
  <c r="P24" i="12"/>
  <c r="S23" i="12"/>
  <c r="P23" i="12"/>
  <c r="S22" i="12"/>
  <c r="P22" i="12"/>
  <c r="S21" i="12"/>
  <c r="P21" i="12"/>
  <c r="S18" i="12"/>
  <c r="P18" i="12"/>
  <c r="S17" i="12"/>
  <c r="P17" i="12"/>
  <c r="S16" i="12"/>
  <c r="P16" i="12"/>
  <c r="S15" i="12"/>
  <c r="P15" i="12"/>
  <c r="S14" i="12"/>
  <c r="P14" i="12"/>
  <c r="S13" i="12"/>
  <c r="P13" i="12"/>
  <c r="S12" i="12"/>
  <c r="P12" i="12"/>
  <c r="P7" i="12"/>
  <c r="O7" i="12"/>
  <c r="O6" i="12"/>
  <c r="P6" i="12" s="1"/>
  <c r="Q5" i="12"/>
  <c r="P5" i="12"/>
  <c r="O5" i="12"/>
  <c r="Q4" i="12"/>
  <c r="U36" i="12" s="1"/>
  <c r="O4" i="12"/>
  <c r="Q3" i="12"/>
  <c r="P3" i="12"/>
  <c r="O3" i="12"/>
  <c r="Q2" i="12"/>
  <c r="U34" i="12" s="1"/>
  <c r="O2" i="12"/>
  <c r="P50" i="11"/>
  <c r="P49" i="11"/>
  <c r="P48" i="11"/>
  <c r="P47" i="11"/>
  <c r="R46" i="11"/>
  <c r="P46" i="11"/>
  <c r="P45" i="11"/>
  <c r="P44" i="11"/>
  <c r="P43" i="11"/>
  <c r="P40" i="11"/>
  <c r="P39" i="11"/>
  <c r="P38" i="11"/>
  <c r="P37" i="11"/>
  <c r="P36" i="11"/>
  <c r="P35" i="11"/>
  <c r="P34" i="11"/>
  <c r="S28" i="11"/>
  <c r="P28" i="11"/>
  <c r="S27" i="11"/>
  <c r="P27" i="11"/>
  <c r="S26" i="11"/>
  <c r="P26" i="11"/>
  <c r="U25" i="11"/>
  <c r="S25" i="11"/>
  <c r="P25" i="11"/>
  <c r="S24" i="11"/>
  <c r="P24" i="11"/>
  <c r="S23" i="11"/>
  <c r="P23" i="11"/>
  <c r="S22" i="11"/>
  <c r="P22" i="11"/>
  <c r="S21" i="11"/>
  <c r="P21" i="11"/>
  <c r="S18" i="11"/>
  <c r="P18" i="11"/>
  <c r="S17" i="11"/>
  <c r="P17" i="11"/>
  <c r="S16" i="11"/>
  <c r="P16" i="11"/>
  <c r="S15" i="11"/>
  <c r="P15" i="11"/>
  <c r="S14" i="11"/>
  <c r="P14" i="11"/>
  <c r="S13" i="11"/>
  <c r="P13" i="11"/>
  <c r="S12" i="11"/>
  <c r="P12" i="11"/>
  <c r="P7" i="11"/>
  <c r="O7" i="11"/>
  <c r="O6" i="11"/>
  <c r="P6" i="11" s="1"/>
  <c r="Q5" i="11"/>
  <c r="P5" i="11"/>
  <c r="O5" i="11"/>
  <c r="Q4" i="11"/>
  <c r="U36" i="11" s="1"/>
  <c r="O4" i="11"/>
  <c r="Q3" i="11"/>
  <c r="U35" i="11" s="1"/>
  <c r="P3" i="11"/>
  <c r="O3" i="11"/>
  <c r="Q2" i="11"/>
  <c r="U34" i="11" s="1"/>
  <c r="O2" i="11"/>
  <c r="P50" i="10"/>
  <c r="P49" i="10"/>
  <c r="P48" i="10"/>
  <c r="P47" i="10"/>
  <c r="R46" i="10"/>
  <c r="P46" i="10"/>
  <c r="P45" i="10"/>
  <c r="P44" i="10"/>
  <c r="P43" i="10"/>
  <c r="P40" i="10"/>
  <c r="P39" i="10"/>
  <c r="P38" i="10"/>
  <c r="P37" i="10"/>
  <c r="P36" i="10"/>
  <c r="P35" i="10"/>
  <c r="P34" i="10"/>
  <c r="S28" i="10"/>
  <c r="P28" i="10"/>
  <c r="S27" i="10"/>
  <c r="P27" i="10"/>
  <c r="S26" i="10"/>
  <c r="P26" i="10"/>
  <c r="U25" i="10"/>
  <c r="S25" i="10"/>
  <c r="P25" i="10"/>
  <c r="S24" i="10"/>
  <c r="P24" i="10"/>
  <c r="S23" i="10"/>
  <c r="P23" i="10"/>
  <c r="S22" i="10"/>
  <c r="P22" i="10"/>
  <c r="S21" i="10"/>
  <c r="P21" i="10"/>
  <c r="S18" i="10"/>
  <c r="P18" i="10"/>
  <c r="S17" i="10"/>
  <c r="P17" i="10"/>
  <c r="S16" i="10"/>
  <c r="P16" i="10"/>
  <c r="S15" i="10"/>
  <c r="P15" i="10"/>
  <c r="S14" i="10"/>
  <c r="P14" i="10"/>
  <c r="S13" i="10"/>
  <c r="P13" i="10"/>
  <c r="S12" i="10"/>
  <c r="P12" i="10"/>
  <c r="P7" i="10"/>
  <c r="O7" i="10"/>
  <c r="O6" i="10"/>
  <c r="P6" i="10" s="1"/>
  <c r="Q5" i="10"/>
  <c r="P5" i="10"/>
  <c r="O5" i="10"/>
  <c r="Q4" i="10"/>
  <c r="U36" i="10" s="1"/>
  <c r="O4" i="10"/>
  <c r="P4" i="10" s="1"/>
  <c r="R4" i="10" s="1"/>
  <c r="Q3" i="10"/>
  <c r="U35" i="10" s="1"/>
  <c r="P3" i="10"/>
  <c r="O3" i="10"/>
  <c r="Q2" i="10"/>
  <c r="U34" i="10" s="1"/>
  <c r="O2" i="10"/>
  <c r="R45" i="9"/>
  <c r="U24" i="9"/>
  <c r="P11" i="9"/>
  <c r="P6" i="9"/>
  <c r="O6" i="9"/>
  <c r="O5" i="9"/>
  <c r="P5" i="9" s="1"/>
  <c r="Q4" i="9"/>
  <c r="U35" i="9" s="1"/>
  <c r="O4" i="9"/>
  <c r="Q3" i="9"/>
  <c r="R3" i="9" s="1"/>
  <c r="P3" i="9"/>
  <c r="O3" i="9"/>
  <c r="Q2" i="9"/>
  <c r="U33" i="9" s="1"/>
  <c r="P50" i="7"/>
  <c r="P49" i="7"/>
  <c r="P48" i="7"/>
  <c r="P47" i="7"/>
  <c r="R46" i="7"/>
  <c r="P46" i="7"/>
  <c r="P45" i="7"/>
  <c r="P44" i="7"/>
  <c r="P43" i="7"/>
  <c r="P40" i="7"/>
  <c r="P39" i="7"/>
  <c r="P38" i="7"/>
  <c r="P37" i="7"/>
  <c r="P36" i="7"/>
  <c r="P35" i="7"/>
  <c r="P34" i="7"/>
  <c r="S28" i="7"/>
  <c r="P28" i="7"/>
  <c r="S27" i="7"/>
  <c r="P27" i="7"/>
  <c r="S26" i="7"/>
  <c r="P26" i="7"/>
  <c r="U25" i="7"/>
  <c r="S25" i="7"/>
  <c r="P25" i="7"/>
  <c r="S24" i="7"/>
  <c r="P24" i="7"/>
  <c r="S23" i="7"/>
  <c r="P23" i="7"/>
  <c r="S22" i="7"/>
  <c r="P22" i="7"/>
  <c r="S21" i="7"/>
  <c r="P21" i="7"/>
  <c r="S18" i="7"/>
  <c r="P18" i="7"/>
  <c r="S17" i="7"/>
  <c r="P17" i="7"/>
  <c r="S16" i="7"/>
  <c r="P16" i="7"/>
  <c r="S15" i="7"/>
  <c r="P15" i="7"/>
  <c r="S14" i="7"/>
  <c r="P14" i="7"/>
  <c r="S13" i="7"/>
  <c r="P13" i="7"/>
  <c r="S12" i="7"/>
  <c r="P12" i="7"/>
  <c r="P7" i="7"/>
  <c r="O7" i="7"/>
  <c r="O6" i="7"/>
  <c r="P6" i="7" s="1"/>
  <c r="Q5" i="7"/>
  <c r="P5" i="7"/>
  <c r="O5" i="7"/>
  <c r="Q4" i="7"/>
  <c r="U36" i="7" s="1"/>
  <c r="O4" i="7"/>
  <c r="Q3" i="7"/>
  <c r="U35" i="7" s="1"/>
  <c r="P3" i="7"/>
  <c r="O3" i="7"/>
  <c r="Q2" i="7"/>
  <c r="U34" i="7" s="1"/>
  <c r="O2" i="7"/>
  <c r="P50" i="6"/>
  <c r="P49" i="6"/>
  <c r="P48" i="6"/>
  <c r="P47" i="6"/>
  <c r="P46" i="6"/>
  <c r="P45" i="6"/>
  <c r="P44" i="6"/>
  <c r="P43" i="6"/>
  <c r="P40" i="6"/>
  <c r="P39" i="6"/>
  <c r="P38" i="6"/>
  <c r="P37" i="6"/>
  <c r="P36" i="6"/>
  <c r="P35" i="6"/>
  <c r="P34" i="6"/>
  <c r="S28" i="6"/>
  <c r="P28" i="6"/>
  <c r="S27" i="6"/>
  <c r="P27" i="6"/>
  <c r="S26" i="6"/>
  <c r="P26" i="6"/>
  <c r="U25" i="6"/>
  <c r="S25" i="6"/>
  <c r="P25" i="6"/>
  <c r="S24" i="6"/>
  <c r="P24" i="6"/>
  <c r="S23" i="6"/>
  <c r="P23" i="6"/>
  <c r="P22" i="6"/>
  <c r="S21" i="6"/>
  <c r="P21" i="6"/>
  <c r="S18" i="6"/>
  <c r="P18" i="6"/>
  <c r="S17" i="6"/>
  <c r="P17" i="6"/>
  <c r="S16" i="6"/>
  <c r="P16" i="6"/>
  <c r="S15" i="6"/>
  <c r="P15" i="6"/>
  <c r="S14" i="6"/>
  <c r="P14" i="6"/>
  <c r="S13" i="6"/>
  <c r="P13" i="6"/>
  <c r="S12" i="6"/>
  <c r="P7" i="6"/>
  <c r="O7" i="6"/>
  <c r="O6" i="6"/>
  <c r="P6" i="6" s="1"/>
  <c r="Q5" i="6"/>
  <c r="P5" i="6"/>
  <c r="O5" i="6"/>
  <c r="Q4" i="6"/>
  <c r="U36" i="6" s="1"/>
  <c r="O4" i="6"/>
  <c r="Q3" i="6"/>
  <c r="U35" i="6" s="1"/>
  <c r="P3" i="6"/>
  <c r="O3" i="6"/>
  <c r="Q2" i="6"/>
  <c r="U34" i="6" s="1"/>
  <c r="O2" i="6"/>
  <c r="S19" i="16" l="1"/>
  <c r="P19" i="16"/>
  <c r="P51" i="16"/>
  <c r="P41" i="16"/>
  <c r="R49" i="16" s="1"/>
  <c r="P29" i="16"/>
  <c r="R48" i="16"/>
  <c r="P18" i="9"/>
  <c r="U34" i="9"/>
  <c r="R47" i="9" s="1"/>
  <c r="P40" i="9"/>
  <c r="S18" i="9"/>
  <c r="R3" i="12"/>
  <c r="R3" i="14"/>
  <c r="R3" i="15"/>
  <c r="S29" i="16"/>
  <c r="R3" i="16"/>
  <c r="R8" i="16" s="1"/>
  <c r="P8" i="16"/>
  <c r="O8" i="16"/>
  <c r="O8" i="12"/>
  <c r="O8" i="13"/>
  <c r="S19" i="15"/>
  <c r="P19" i="12"/>
  <c r="P29" i="15"/>
  <c r="S29" i="11"/>
  <c r="P41" i="11"/>
  <c r="S19" i="13"/>
  <c r="P19" i="11"/>
  <c r="P51" i="14"/>
  <c r="O8" i="15"/>
  <c r="P29" i="14"/>
  <c r="P29" i="11"/>
  <c r="P51" i="11"/>
  <c r="S29" i="12"/>
  <c r="P41" i="12"/>
  <c r="R3" i="13"/>
  <c r="P19" i="13"/>
  <c r="S19" i="14"/>
  <c r="S29" i="15"/>
  <c r="P19" i="15"/>
  <c r="P51" i="15"/>
  <c r="S19" i="12"/>
  <c r="T28" i="12" s="1"/>
  <c r="P29" i="13"/>
  <c r="P51" i="13"/>
  <c r="S29" i="14"/>
  <c r="P41" i="14"/>
  <c r="T28" i="15"/>
  <c r="S19" i="11"/>
  <c r="P29" i="12"/>
  <c r="P51" i="12"/>
  <c r="S29" i="13"/>
  <c r="T28" i="13" s="1"/>
  <c r="P41" i="13"/>
  <c r="O8" i="14"/>
  <c r="P19" i="14"/>
  <c r="P41" i="15"/>
  <c r="P4" i="15"/>
  <c r="R4" i="15" s="1"/>
  <c r="P2" i="15"/>
  <c r="P8" i="15" s="1"/>
  <c r="U35" i="15"/>
  <c r="R48" i="15" s="1"/>
  <c r="P4" i="14"/>
  <c r="R4" i="14" s="1"/>
  <c r="P2" i="14"/>
  <c r="P8" i="14" s="1"/>
  <c r="U35" i="14"/>
  <c r="R48" i="14" s="1"/>
  <c r="U35" i="13"/>
  <c r="R48" i="13" s="1"/>
  <c r="P4" i="13"/>
  <c r="R4" i="13" s="1"/>
  <c r="P2" i="13"/>
  <c r="P8" i="13" s="1"/>
  <c r="P4" i="12"/>
  <c r="R4" i="12" s="1"/>
  <c r="P2" i="12"/>
  <c r="P8" i="12" s="1"/>
  <c r="U35" i="12"/>
  <c r="R48" i="12" s="1"/>
  <c r="R48" i="11"/>
  <c r="R3" i="11"/>
  <c r="O8" i="11"/>
  <c r="P4" i="11"/>
  <c r="R4" i="11" s="1"/>
  <c r="P2" i="11"/>
  <c r="P8" i="11" s="1"/>
  <c r="P29" i="6"/>
  <c r="S29" i="10"/>
  <c r="P19" i="10"/>
  <c r="O8" i="6"/>
  <c r="P28" i="9"/>
  <c r="O8" i="7"/>
  <c r="P41" i="10"/>
  <c r="S19" i="6"/>
  <c r="S19" i="7"/>
  <c r="S28" i="9"/>
  <c r="R3" i="10"/>
  <c r="P29" i="10"/>
  <c r="P19" i="6"/>
  <c r="P51" i="6"/>
  <c r="P19" i="7"/>
  <c r="P51" i="7"/>
  <c r="S19" i="10"/>
  <c r="P29" i="7"/>
  <c r="R3" i="6"/>
  <c r="S29" i="6"/>
  <c r="P41" i="6"/>
  <c r="R3" i="7"/>
  <c r="S29" i="7"/>
  <c r="P41" i="7"/>
  <c r="P50" i="9"/>
  <c r="P51" i="10"/>
  <c r="O8" i="10"/>
  <c r="R48" i="10"/>
  <c r="O7" i="9"/>
  <c r="P2" i="10"/>
  <c r="P8" i="10" s="1"/>
  <c r="P4" i="9"/>
  <c r="R4" i="9" s="1"/>
  <c r="R7" i="9" s="1"/>
  <c r="P2" i="9"/>
  <c r="P7" i="9" s="1"/>
  <c r="P4" i="7"/>
  <c r="R4" i="7" s="1"/>
  <c r="R8" i="7" s="1"/>
  <c r="P2" i="7"/>
  <c r="P8" i="7" s="1"/>
  <c r="R48" i="7"/>
  <c r="P4" i="6"/>
  <c r="R4" i="6" s="1"/>
  <c r="R48" i="6"/>
  <c r="P2" i="6"/>
  <c r="P8" i="6" s="1"/>
  <c r="R50" i="16" l="1"/>
  <c r="P29" i="9"/>
  <c r="P30" i="16"/>
  <c r="T28" i="16"/>
  <c r="T28" i="11"/>
  <c r="R49" i="14"/>
  <c r="R51" i="14" s="1"/>
  <c r="R49" i="13"/>
  <c r="R51" i="13" s="1"/>
  <c r="R49" i="15"/>
  <c r="R51" i="15" s="1"/>
  <c r="R50" i="13"/>
  <c r="T28" i="14"/>
  <c r="R49" i="11"/>
  <c r="R51" i="11" s="1"/>
  <c r="R49" i="12"/>
  <c r="R51" i="12" s="1"/>
  <c r="R49" i="6"/>
  <c r="R51" i="6" s="1"/>
  <c r="T28" i="6"/>
  <c r="R8" i="6"/>
  <c r="T28" i="10"/>
  <c r="R48" i="9"/>
  <c r="R50" i="9" s="1"/>
  <c r="T27" i="9"/>
  <c r="R49" i="7"/>
  <c r="T28" i="7"/>
  <c r="R49" i="10"/>
  <c r="R51" i="16" l="1"/>
  <c r="R50" i="15"/>
  <c r="R50" i="11"/>
  <c r="R50" i="14"/>
  <c r="R50" i="6"/>
  <c r="R50" i="12"/>
  <c r="R51" i="7"/>
  <c r="R50" i="7"/>
  <c r="R49" i="9"/>
  <c r="R50" i="10"/>
  <c r="R51" i="10"/>
  <c r="P30" i="6"/>
  <c r="P30" i="7"/>
  <c r="R8" i="12" l="1"/>
  <c r="P30" i="12" s="1"/>
  <c r="R8" i="13"/>
  <c r="P30" i="13" s="1"/>
  <c r="R8" i="14"/>
  <c r="P30" i="14" s="1"/>
  <c r="R8" i="11"/>
  <c r="P30" i="11" s="1"/>
  <c r="R8" i="15"/>
  <c r="P30" i="15" s="1"/>
  <c r="R8" i="10"/>
  <c r="P30" i="10" s="1"/>
</calcChain>
</file>

<file path=xl/sharedStrings.xml><?xml version="1.0" encoding="utf-8"?>
<sst xmlns="http://schemas.openxmlformats.org/spreadsheetml/2006/main" count="5571" uniqueCount="861">
  <si>
    <t>Dia</t>
  </si>
  <si>
    <t>Empresa</t>
  </si>
  <si>
    <t>Hora</t>
  </si>
  <si>
    <t>Nº Pax</t>
  </si>
  <si>
    <t>Valor</t>
  </si>
  <si>
    <t>Comissão</t>
  </si>
  <si>
    <t>Por Quem</t>
  </si>
  <si>
    <t>Pago Hósp?</t>
  </si>
  <si>
    <t>Pago</t>
  </si>
  <si>
    <t>Parceiros</t>
  </si>
  <si>
    <t>Valor Total</t>
  </si>
  <si>
    <t>Tips</t>
  </si>
  <si>
    <t>Envelope</t>
  </si>
  <si>
    <t>7Roads</t>
  </si>
  <si>
    <t>Nicole</t>
  </si>
  <si>
    <t>Sim</t>
  </si>
  <si>
    <t>Não</t>
  </si>
  <si>
    <t>Where To</t>
  </si>
  <si>
    <t>Ricardo</t>
  </si>
  <si>
    <t>Adriana</t>
  </si>
  <si>
    <t>7Roads Driver</t>
  </si>
  <si>
    <t>N/A</t>
  </si>
  <si>
    <t>CitySightSeeing</t>
  </si>
  <si>
    <t>Website</t>
  </si>
  <si>
    <t>Outra</t>
  </si>
  <si>
    <t>Total</t>
  </si>
  <si>
    <t>Helder</t>
  </si>
  <si>
    <t>Erica</t>
  </si>
  <si>
    <t>Nº Malas</t>
  </si>
  <si>
    <t>1 a 2 Pax</t>
  </si>
  <si>
    <t>3 Malas</t>
  </si>
  <si>
    <t>3 a 4 Pax</t>
  </si>
  <si>
    <t>4 Malas</t>
  </si>
  <si>
    <t>Thomas</t>
  </si>
  <si>
    <t>-</t>
  </si>
  <si>
    <t>5/6 Malas</t>
  </si>
  <si>
    <t>Maycon</t>
  </si>
  <si>
    <t>5 a 8 Pax</t>
  </si>
  <si>
    <t>12 Malas</t>
  </si>
  <si>
    <t>Francisco</t>
  </si>
  <si>
    <t>35€ a 45€</t>
  </si>
  <si>
    <t>Diogo</t>
  </si>
  <si>
    <t>Erike</t>
  </si>
  <si>
    <t>Notas</t>
  </si>
  <si>
    <t>Moedas</t>
  </si>
  <si>
    <t xml:space="preserve"> </t>
  </si>
  <si>
    <t>Hotel - Aero</t>
  </si>
  <si>
    <t>Hotel</t>
  </si>
  <si>
    <t>De:</t>
  </si>
  <si>
    <t>Aero</t>
  </si>
  <si>
    <t>Outro</t>
  </si>
  <si>
    <t>Tour</t>
  </si>
  <si>
    <t>Para:</t>
  </si>
  <si>
    <t>Sintra/Cascais</t>
  </si>
  <si>
    <t>Fátima/Óbidos</t>
  </si>
  <si>
    <t>Voucher | Res.</t>
  </si>
  <si>
    <t>Quarto | Nome</t>
  </si>
  <si>
    <t>Comissões 7Roads</t>
  </si>
  <si>
    <t>Descrição</t>
  </si>
  <si>
    <t>Diferença</t>
  </si>
  <si>
    <t>Valor por pax</t>
  </si>
  <si>
    <t>Facturas</t>
  </si>
  <si>
    <t>Fundo Maneio</t>
  </si>
  <si>
    <t>Total Facturas</t>
  </si>
  <si>
    <t>Fundo de Caixa</t>
  </si>
  <si>
    <t>Diferença de Caixa</t>
  </si>
  <si>
    <t>Contagem TIPS</t>
  </si>
  <si>
    <t>Contagem MAPA TOURS</t>
  </si>
  <si>
    <t>Contagem CAIXA TURNO</t>
  </si>
  <si>
    <t>Aero - Hotel</t>
  </si>
  <si>
    <t>Cash</t>
  </si>
  <si>
    <t>Lançamentos</t>
  </si>
  <si>
    <t>Sobras TIPS</t>
  </si>
  <si>
    <t>Lançamentos TIPS</t>
  </si>
  <si>
    <t>Direcções | Observações</t>
  </si>
  <si>
    <t>06h20</t>
  </si>
  <si>
    <t>Hotel-Aero</t>
  </si>
  <si>
    <t>12h00</t>
  </si>
  <si>
    <t>Hotel-Oriente Comboios</t>
  </si>
  <si>
    <t>Berkan Kaplam</t>
  </si>
  <si>
    <t>21h45</t>
  </si>
  <si>
    <t>Aero-Hotel (TP244)</t>
  </si>
  <si>
    <t>Francesca Ferraro</t>
  </si>
  <si>
    <t>20h35</t>
  </si>
  <si>
    <t>Aero-Hotel (W46219)</t>
  </si>
  <si>
    <t>Joel Pereira</t>
  </si>
  <si>
    <t>16h50</t>
  </si>
  <si>
    <t>Aero-Hotel (QR343)</t>
  </si>
  <si>
    <t>Veronica Bachetti</t>
  </si>
  <si>
    <t>13h00</t>
  </si>
  <si>
    <t>Aero-Hotel (FR9903)</t>
  </si>
  <si>
    <t>11h30</t>
  </si>
  <si>
    <t>Hotel-Aero Rental</t>
  </si>
  <si>
    <t>Brat Sybille</t>
  </si>
  <si>
    <t>18h00</t>
  </si>
  <si>
    <t>Aero-Hotel (U27606)</t>
  </si>
  <si>
    <t>08h20</t>
  </si>
  <si>
    <t>Tour Sintra/Cascais</t>
  </si>
  <si>
    <t>Sara</t>
  </si>
  <si>
    <t>14h30</t>
  </si>
  <si>
    <t>Pack Iconic</t>
  </si>
  <si>
    <t>Ermenegilda Manganaro</t>
  </si>
  <si>
    <t>13h55</t>
  </si>
  <si>
    <t>Aero-Hotel (TP861)</t>
  </si>
  <si>
    <t>Juan Carlos Yepes Cano</t>
  </si>
  <si>
    <t>19h15</t>
  </si>
  <si>
    <t>Aero-Hotel (UX1157)</t>
  </si>
  <si>
    <t>08h30</t>
  </si>
  <si>
    <t>08h25</t>
  </si>
  <si>
    <t>09h30</t>
  </si>
  <si>
    <t>17h30</t>
  </si>
  <si>
    <t>05h20</t>
  </si>
  <si>
    <t>Amanda Fuller</t>
  </si>
  <si>
    <t>06h55</t>
  </si>
  <si>
    <t>406/408</t>
  </si>
  <si>
    <t>10h30</t>
  </si>
  <si>
    <t>Shaldeen Somers</t>
  </si>
  <si>
    <t>11h20</t>
  </si>
  <si>
    <t>Aero-Hotel (SN3815)</t>
  </si>
  <si>
    <t>Loes Klarenbeek #323</t>
  </si>
  <si>
    <t>15h45</t>
  </si>
  <si>
    <t>08h15</t>
  </si>
  <si>
    <t>COMBO Tour Sintra</t>
  </si>
  <si>
    <t>COMBO Tour Fátima</t>
  </si>
  <si>
    <t>06h15</t>
  </si>
  <si>
    <t>09h25</t>
  </si>
  <si>
    <t>07h00</t>
  </si>
  <si>
    <t>09h00</t>
  </si>
  <si>
    <t>Beatriz Bielsa #225</t>
  </si>
  <si>
    <t>Erna Ruthers &amp; Inge te Paske</t>
  </si>
  <si>
    <t>12h15</t>
  </si>
  <si>
    <t>Aero-Hotel (EW9603)</t>
  </si>
  <si>
    <t>Vanessa</t>
  </si>
  <si>
    <t>Zara Gold</t>
  </si>
  <si>
    <t>20h55</t>
  </si>
  <si>
    <t>Aero-Hotel (LY375)</t>
  </si>
  <si>
    <t xml:space="preserve">German Rodriguez Soucase </t>
  </si>
  <si>
    <t>22h50</t>
  </si>
  <si>
    <t>Aero-Hotel (FR1769)</t>
  </si>
  <si>
    <t>13h30</t>
  </si>
  <si>
    <t>Go2Lisbon</t>
  </si>
  <si>
    <t>Ermenegilda 406 /408</t>
  </si>
  <si>
    <t>11h15</t>
  </si>
  <si>
    <t>Alessio Carnevale</t>
  </si>
  <si>
    <t>13h10</t>
  </si>
  <si>
    <t>Aero-Hotel (EJU3871)</t>
  </si>
  <si>
    <t>Ramon Spekking &amp; Kate Soeter</t>
  </si>
  <si>
    <t>17h10</t>
  </si>
  <si>
    <t>Aero-Hotel (EW9602)</t>
  </si>
  <si>
    <t>19h30</t>
  </si>
  <si>
    <t>April Campbell</t>
  </si>
  <si>
    <t>13h25</t>
  </si>
  <si>
    <t>Aero-Hotel (TP1453)</t>
  </si>
  <si>
    <t>07h30</t>
  </si>
  <si>
    <t>Shaldeen Somers 501|502</t>
  </si>
  <si>
    <t>09h15</t>
  </si>
  <si>
    <t>Lawrence Annamarie</t>
  </si>
  <si>
    <t>18h05</t>
  </si>
  <si>
    <t>Aero-Hotel (BA502)</t>
  </si>
  <si>
    <t>06h00</t>
  </si>
  <si>
    <t>10h00</t>
  </si>
  <si>
    <t>Melany Veloso #416</t>
  </si>
  <si>
    <t xml:space="preserve">Mattia Oddone </t>
  </si>
  <si>
    <t>11h55</t>
  </si>
  <si>
    <t>Aero-Hotel (EJU6732)</t>
  </si>
  <si>
    <t>Ruthers &amp; Spekking</t>
  </si>
  <si>
    <t>15h30</t>
  </si>
  <si>
    <t>Davide Solaeri</t>
  </si>
  <si>
    <t>16h15</t>
  </si>
  <si>
    <t>Aero-Hotel (FR 2622)</t>
  </si>
  <si>
    <t>Petra Lindner</t>
  </si>
  <si>
    <t>21h20</t>
  </si>
  <si>
    <t>Aero-Hotel (S40152)</t>
  </si>
  <si>
    <t>Kathleen Martini</t>
  </si>
  <si>
    <t>22h05</t>
  </si>
  <si>
    <t>Aero-Hotel (LH1170)</t>
  </si>
  <si>
    <t>Katelyn Moorley</t>
  </si>
  <si>
    <t>Aero-Hotel (EZY2465)</t>
  </si>
  <si>
    <t>14h00</t>
  </si>
  <si>
    <t xml:space="preserve">Marianne Misund </t>
  </si>
  <si>
    <t>Aero-Hotel (TP765)</t>
  </si>
  <si>
    <t>Beatriz</t>
  </si>
  <si>
    <t>Akiko Shiozawa</t>
  </si>
  <si>
    <t>23h20</t>
  </si>
  <si>
    <t>Aero-Hotel (LX 2082)</t>
  </si>
  <si>
    <t>Filomena Menichino</t>
  </si>
  <si>
    <t>Maria Sirera</t>
  </si>
  <si>
    <t>Aero-Hotel (S4150)</t>
  </si>
  <si>
    <t>Justine Schlegel</t>
  </si>
  <si>
    <t>09h35</t>
  </si>
  <si>
    <t>Aero-Hotel (TSC480)</t>
  </si>
  <si>
    <t>03h40</t>
  </si>
  <si>
    <t>04h30</t>
  </si>
  <si>
    <t>101/102</t>
  </si>
  <si>
    <t>Pack Essential</t>
  </si>
  <si>
    <t>05h45</t>
  </si>
  <si>
    <t>Priscila Castro</t>
  </si>
  <si>
    <t>Aero-Hotel (TP58)</t>
  </si>
  <si>
    <t>109 | Petra Lindner</t>
  </si>
  <si>
    <t>Hotel-Centauro, Olivais</t>
  </si>
  <si>
    <t>3+1</t>
  </si>
  <si>
    <t>11h00</t>
  </si>
  <si>
    <t>Rage Ben</t>
  </si>
  <si>
    <t>22h45</t>
  </si>
  <si>
    <t>Aero-Hotel (FR8619)</t>
  </si>
  <si>
    <t>Andrei Măjeri</t>
  </si>
  <si>
    <t>17h35</t>
  </si>
  <si>
    <t>Maria Sirera #410</t>
  </si>
  <si>
    <t>05h15</t>
  </si>
  <si>
    <t>208/214</t>
  </si>
  <si>
    <t>Petros Mandalis</t>
  </si>
  <si>
    <t>23h45</t>
  </si>
  <si>
    <t>Aero-Hotel (A3722)</t>
  </si>
  <si>
    <t>401/402</t>
  </si>
  <si>
    <t xml:space="preserve">04h30 </t>
  </si>
  <si>
    <t xml:space="preserve">Gregory Sheets </t>
  </si>
  <si>
    <t>14h50</t>
  </si>
  <si>
    <t>Aero-Hotel (DL8296)</t>
  </si>
  <si>
    <t>Krzysztof Kondracki</t>
  </si>
  <si>
    <t>?</t>
  </si>
  <si>
    <t xml:space="preserve">Thomas DeClercq </t>
  </si>
  <si>
    <t>10h55</t>
  </si>
  <si>
    <t>Aero-Hotel (DL9349)</t>
  </si>
  <si>
    <t>Lucas Borchenko</t>
  </si>
  <si>
    <t>Aero-Hotel (TS480)</t>
  </si>
  <si>
    <t xml:space="preserve">Kirk Koenig </t>
  </si>
  <si>
    <t>21h35</t>
  </si>
  <si>
    <t>Aero-Hotel (EL486)</t>
  </si>
  <si>
    <t>03h30</t>
  </si>
  <si>
    <t>Curtis Levy</t>
  </si>
  <si>
    <t>08h05</t>
  </si>
  <si>
    <t>Gillian Viragh</t>
  </si>
  <si>
    <t>12h55</t>
  </si>
  <si>
    <t>Aero-Hotel (EZY2209)</t>
  </si>
  <si>
    <t>Svetlana Teplysheva</t>
  </si>
  <si>
    <t>13h20</t>
  </si>
  <si>
    <t>Aero-Hotel (TP831)</t>
  </si>
  <si>
    <t>Tammy Laporte</t>
  </si>
  <si>
    <t>17h55</t>
  </si>
  <si>
    <t>Eileen Minto</t>
  </si>
  <si>
    <t>Aero-Hotel</t>
  </si>
  <si>
    <t xml:space="preserve">Julie Brozek </t>
  </si>
  <si>
    <t>08h00</t>
  </si>
  <si>
    <t>Aero-Hotel (DL 272)</t>
  </si>
  <si>
    <t>Dina</t>
  </si>
  <si>
    <t>Michael Palazzola</t>
  </si>
  <si>
    <t>Aero-Hotel (UA942)</t>
  </si>
  <si>
    <t xml:space="preserve">Bradley Judd </t>
  </si>
  <si>
    <t xml:space="preserve">Laura Markley </t>
  </si>
  <si>
    <t>09h05</t>
  </si>
  <si>
    <t>Aero-Hotel (AA258)</t>
  </si>
  <si>
    <t xml:space="preserve">Mark Fisher </t>
  </si>
  <si>
    <t>11h05</t>
  </si>
  <si>
    <t>Aero-Hotel (AC810)</t>
  </si>
  <si>
    <t>Elizabeth Teal</t>
  </si>
  <si>
    <t>Aero-Hotel (AA258) Reservou 29 mas chega 30</t>
  </si>
  <si>
    <t>Rosellen Kozel</t>
  </si>
  <si>
    <t>Franklin Zbaraschuk</t>
  </si>
  <si>
    <t xml:space="preserve">Leslie Fall </t>
  </si>
  <si>
    <t>09h50</t>
  </si>
  <si>
    <t xml:space="preserve"> Robert Coulthurst</t>
  </si>
  <si>
    <t>09h20</t>
  </si>
  <si>
    <t>Aero-Hotel (LH6547)</t>
  </si>
  <si>
    <t xml:space="preserve">James Anderson </t>
  </si>
  <si>
    <t xml:space="preserve"> Marie Pierre Locatelli</t>
  </si>
  <si>
    <t xml:space="preserve">12h10 </t>
  </si>
  <si>
    <t>Aero-Hotel (EJU7642)</t>
  </si>
  <si>
    <t>Ken Frankish</t>
  </si>
  <si>
    <t>Michael Green</t>
  </si>
  <si>
    <t xml:space="preserve">Guillermo Alfonso Osuna Paez </t>
  </si>
  <si>
    <t>Aero-Hotel (AM6898) Reservou 4 mas chega 5</t>
  </si>
  <si>
    <t>_</t>
  </si>
  <si>
    <t>Deborah Warren</t>
  </si>
  <si>
    <t>14h35</t>
  </si>
  <si>
    <t>Jose Francisco Martha González</t>
  </si>
  <si>
    <t>19h50</t>
  </si>
  <si>
    <t>Aero-Hotel (TP835)</t>
  </si>
  <si>
    <t>Brenda Young</t>
  </si>
  <si>
    <t>15h25</t>
  </si>
  <si>
    <t>Aero-Hotel (AC9364)</t>
  </si>
  <si>
    <t xml:space="preserve">Norene Pease </t>
  </si>
  <si>
    <t>10h45</t>
  </si>
  <si>
    <t>Aero-Hotel (DL124)</t>
  </si>
  <si>
    <t>Jacques Barriere</t>
  </si>
  <si>
    <t>08h10</t>
  </si>
  <si>
    <t>Aero-Hotel (TP495)</t>
  </si>
  <si>
    <t>Julie Ekelund</t>
  </si>
  <si>
    <t>Ken Konzen</t>
  </si>
  <si>
    <t>Aero-Hotel (TP1351)</t>
  </si>
  <si>
    <t>André Meyer</t>
  </si>
  <si>
    <t>Aero-Hotel (TP935)</t>
  </si>
  <si>
    <t>Scott Weaver</t>
  </si>
  <si>
    <t>Theresa Breidigan</t>
  </si>
  <si>
    <t>Aero-Hotel (UA145)</t>
  </si>
  <si>
    <t>Ed &amp; Pat Spirko</t>
  </si>
  <si>
    <t xml:space="preserve">Aero-Hotel (UA64) </t>
  </si>
  <si>
    <t>05h00</t>
  </si>
  <si>
    <t>Becky Emerson</t>
  </si>
  <si>
    <t>Aero-Hotel (TP238)</t>
  </si>
  <si>
    <t>Kendra Jones</t>
  </si>
  <si>
    <t>Nicole Mondello</t>
  </si>
  <si>
    <t>Kenneth Powell</t>
  </si>
  <si>
    <t>Michael Dominguez</t>
  </si>
  <si>
    <t>Andrea Leeming</t>
  </si>
  <si>
    <t>Aero-Hotel (TP262)</t>
  </si>
  <si>
    <t>Paul Schellenberg</t>
  </si>
  <si>
    <t>14h15</t>
  </si>
  <si>
    <t>Aero-Hotel (TP401)</t>
  </si>
  <si>
    <t xml:space="preserve">Marilyn Henderson </t>
  </si>
  <si>
    <t>10h35</t>
  </si>
  <si>
    <t>Luis Arocho</t>
  </si>
  <si>
    <t>15h15</t>
  </si>
  <si>
    <t>Aaron Butcher</t>
  </si>
  <si>
    <t>09h55</t>
  </si>
  <si>
    <t>Bradley Pomroy</t>
  </si>
  <si>
    <t>Lisa Wehse</t>
  </si>
  <si>
    <t>Gayle Melton</t>
  </si>
  <si>
    <t>Aero-Hotel (EI486)</t>
  </si>
  <si>
    <t>Steve Korman</t>
  </si>
  <si>
    <t>Lisa Magoun</t>
  </si>
  <si>
    <t>Aero-Hotel (UA64)</t>
  </si>
  <si>
    <t>Connie Kleier Mcglynn</t>
  </si>
  <si>
    <t>12h30</t>
  </si>
  <si>
    <t>Keith Simila</t>
  </si>
  <si>
    <t>Aero-Hotel (AF1624)</t>
  </si>
  <si>
    <t>Shannon Daly</t>
  </si>
  <si>
    <t>Aero-Hotel (WS5149)</t>
  </si>
  <si>
    <t>Mera</t>
  </si>
  <si>
    <t>Deborah Doherty</t>
  </si>
  <si>
    <t>Mark Schmitz</t>
  </si>
  <si>
    <t>Kevin Kirby</t>
  </si>
  <si>
    <t>05h40</t>
  </si>
  <si>
    <t>Aero-Hotel (TP218)</t>
  </si>
  <si>
    <t>Bernard Leprohon</t>
  </si>
  <si>
    <t>Aero-Hotel (AC812)</t>
  </si>
  <si>
    <t>Julie Ee</t>
  </si>
  <si>
    <t>21h30</t>
  </si>
  <si>
    <t>Sue Wardropper</t>
  </si>
  <si>
    <t>Aero-Hotel (FR1882)</t>
  </si>
  <si>
    <t>Matthew Obreza</t>
  </si>
  <si>
    <t>Sintra-Cascais</t>
  </si>
  <si>
    <t>Yen Vo</t>
  </si>
  <si>
    <t>Aero-Hotel (KL1583)</t>
  </si>
  <si>
    <t xml:space="preserve">Sally Killick </t>
  </si>
  <si>
    <t>14h45</t>
  </si>
  <si>
    <t>Aero-Hotel (TP1367)</t>
  </si>
  <si>
    <t>Sheryl Witt</t>
  </si>
  <si>
    <t>Zoraida Ulloa</t>
  </si>
  <si>
    <t>Aero-Hotel (UA8090)</t>
  </si>
  <si>
    <t>Leonard Oneill</t>
  </si>
  <si>
    <t>Aero-Hotel (DL0272)</t>
  </si>
  <si>
    <t>Aero-Hotel (W62393)</t>
  </si>
  <si>
    <t>Michael Lose</t>
  </si>
  <si>
    <t>Douglas Miligan</t>
  </si>
  <si>
    <t>10h15</t>
  </si>
  <si>
    <t>Aero-Hotel (TP1103)</t>
  </si>
  <si>
    <t>Kevin Smith</t>
  </si>
  <si>
    <t>12h10</t>
  </si>
  <si>
    <t>Aero-Hotel (BA504)</t>
  </si>
  <si>
    <t>Rosalina Oo</t>
  </si>
  <si>
    <t xml:space="preserve">Marissa Alonzo-Ejanda </t>
  </si>
  <si>
    <t xml:space="preserve">Moncarz Avraham-Gezel </t>
  </si>
  <si>
    <t xml:space="preserve">Ralf Zaich </t>
  </si>
  <si>
    <t>Marla Sparks</t>
  </si>
  <si>
    <t>Aero (Rent-a-Car)-Hotel</t>
  </si>
  <si>
    <t>Alicia Goncalves</t>
  </si>
  <si>
    <t>Sally Lopez</t>
  </si>
  <si>
    <t>Stefano Frezza</t>
  </si>
  <si>
    <t>Aero-Hotel (FR820)</t>
  </si>
  <si>
    <t>Aviram Cohen</t>
  </si>
  <si>
    <t>17h50</t>
  </si>
  <si>
    <t>18h30</t>
  </si>
  <si>
    <t>Benjamin Wade Davis</t>
  </si>
  <si>
    <t>15h40</t>
  </si>
  <si>
    <t>Aero-Hotel (EJU7394)</t>
  </si>
  <si>
    <t>a mais</t>
  </si>
  <si>
    <t>08h45</t>
  </si>
  <si>
    <t>429/430</t>
  </si>
  <si>
    <t>07h40</t>
  </si>
  <si>
    <t>Aero-Hotel (W43197)</t>
  </si>
  <si>
    <t>Fábio Galdini</t>
  </si>
  <si>
    <t>Aero-Hotel (AD8750)</t>
  </si>
  <si>
    <t>TIPS SARA</t>
  </si>
  <si>
    <t>Hotel-Santa Apolonia</t>
  </si>
  <si>
    <t>Tips Alcobia</t>
  </si>
  <si>
    <t xml:space="preserve">304 - Christopher </t>
  </si>
  <si>
    <t>Ahmed Elsayed</t>
  </si>
  <si>
    <t>Trovas Antigas</t>
  </si>
  <si>
    <t>205 / 215 / 216</t>
  </si>
  <si>
    <t>12h45</t>
  </si>
  <si>
    <t>Tour Palácios de Sintra</t>
  </si>
  <si>
    <t>Stefano Grossi</t>
  </si>
  <si>
    <t>Yi Tong</t>
  </si>
  <si>
    <t>04h40</t>
  </si>
  <si>
    <t>Aero-Hotel (S4124)</t>
  </si>
  <si>
    <t>A menos</t>
  </si>
  <si>
    <t>Sandra Fariello</t>
  </si>
  <si>
    <t>Aero-Hotel(LX2084)</t>
  </si>
  <si>
    <t>A MAIS</t>
  </si>
  <si>
    <t>Sanna, Giovannino/ 310</t>
  </si>
  <si>
    <t>04h00</t>
  </si>
  <si>
    <t>Alessanda Di Rienzo</t>
  </si>
  <si>
    <t>17h00</t>
  </si>
  <si>
    <t>Fado Night</t>
  </si>
  <si>
    <t>Pasquale Zizzi</t>
  </si>
  <si>
    <t>O POÇO</t>
  </si>
  <si>
    <t>Sylvia Silveira</t>
  </si>
  <si>
    <t>Aero-Hotel (FR1624)</t>
  </si>
  <si>
    <t>Richard Di Lena</t>
  </si>
  <si>
    <t>Aero-Hotel (TP3904)</t>
  </si>
  <si>
    <t>2+2</t>
  </si>
  <si>
    <t>605/507</t>
  </si>
  <si>
    <t>Karen K. (não hospedada)</t>
  </si>
  <si>
    <t>07h15</t>
  </si>
  <si>
    <t>#112 Priscila Castro</t>
  </si>
  <si>
    <t># 422 Lucas Borchenko</t>
  </si>
  <si>
    <t>06h30</t>
  </si>
  <si>
    <t>TIP</t>
  </si>
  <si>
    <t>Aero-Hotel (AA 258)</t>
  </si>
  <si>
    <t>Mark Sylvester</t>
  </si>
  <si>
    <t>414/415</t>
  </si>
  <si>
    <t>Gene Wilks</t>
  </si>
  <si>
    <t>Tiffany Abinett</t>
  </si>
  <si>
    <t>Antonella Margiotta</t>
  </si>
  <si>
    <t>Svetlana Teplysheva #115</t>
  </si>
  <si>
    <t>Markus Ley #313</t>
  </si>
  <si>
    <t>Deborah Meier</t>
  </si>
  <si>
    <t>Jimmy Carver</t>
  </si>
  <si>
    <t>22h00</t>
  </si>
  <si>
    <t>06h40</t>
  </si>
  <si>
    <t>15h00</t>
  </si>
  <si>
    <t>Daniela Pietrobon</t>
  </si>
  <si>
    <t>Iuliia Gribaleva</t>
  </si>
  <si>
    <t>07h45</t>
  </si>
  <si>
    <t>Hotel-Estação Oriente</t>
  </si>
  <si>
    <t>219/413</t>
  </si>
  <si>
    <t>13h40</t>
  </si>
  <si>
    <t>TukTuk Tejo</t>
  </si>
  <si>
    <t>Antonella Margiotta #417</t>
  </si>
  <si>
    <t>Lisa Nakamura</t>
  </si>
  <si>
    <t>14h10</t>
  </si>
  <si>
    <t>Aero-Hotel (QR341)</t>
  </si>
  <si>
    <t>17h05</t>
  </si>
  <si>
    <t>03h15</t>
  </si>
  <si>
    <t>04h20</t>
  </si>
  <si>
    <t>16h30</t>
  </si>
  <si>
    <t>20h30</t>
  </si>
  <si>
    <t>18h15</t>
  </si>
  <si>
    <t>Tip</t>
  </si>
  <si>
    <t>Divisão tips 8 pax</t>
  </si>
  <si>
    <t>CONTAR EM SETEMBRO</t>
  </si>
  <si>
    <t>Thalia Fernandes</t>
  </si>
  <si>
    <t>Aero-Hotel (TAP216)</t>
  </si>
  <si>
    <t>Jutta Zawodny</t>
  </si>
  <si>
    <t xml:space="preserve">Timothy Mooney </t>
  </si>
  <si>
    <t>Hotel-Santa Apolónia</t>
  </si>
  <si>
    <t>Lisbon of Neighborhoods I</t>
  </si>
  <si>
    <t>22h35</t>
  </si>
  <si>
    <t xml:space="preserve">Markus Schick </t>
  </si>
  <si>
    <t>Cameron McLevedge</t>
  </si>
  <si>
    <t>05h30</t>
  </si>
  <si>
    <t>Pieter Bjil</t>
  </si>
  <si>
    <t>23h00</t>
  </si>
  <si>
    <t>Cathy Fallon</t>
  </si>
  <si>
    <t>10h10</t>
  </si>
  <si>
    <t>02h00</t>
  </si>
  <si>
    <t>320 - MCLane Gregory</t>
  </si>
  <si>
    <t>107/112</t>
  </si>
  <si>
    <t>Hotel-Oriente</t>
  </si>
  <si>
    <t>218/219</t>
  </si>
  <si>
    <t>Essencial Pack</t>
  </si>
  <si>
    <t>Caitlin Faeth  #501</t>
  </si>
  <si>
    <t>Diana Pond #507</t>
  </si>
  <si>
    <t>Georgi Ginev</t>
  </si>
  <si>
    <t xml:space="preserve">Aero-Hotel (DL9576) </t>
  </si>
  <si>
    <t>Aero-Hotel (TP216)</t>
  </si>
  <si>
    <t>Iconic Pack</t>
  </si>
  <si>
    <t xml:space="preserve">Monique Stine </t>
  </si>
  <si>
    <t>18H40</t>
  </si>
  <si>
    <t>401_402</t>
  </si>
  <si>
    <t>Dubois</t>
  </si>
  <si>
    <t>18h20</t>
  </si>
  <si>
    <t>Benjamin Stalder</t>
  </si>
  <si>
    <t>12h40</t>
  </si>
  <si>
    <t>Aero-Hotel (DL9446) Reservou 7 mas chega 6</t>
  </si>
  <si>
    <t>Tuktuk</t>
  </si>
  <si>
    <t>Lisbon of neighborhoods 2</t>
  </si>
  <si>
    <t>Inbal Levi</t>
  </si>
  <si>
    <t>13h35</t>
  </si>
  <si>
    <t>603_604 | Hans Georg</t>
  </si>
  <si>
    <t>Christiane Lemberg</t>
  </si>
  <si>
    <t>518 | Jutta</t>
  </si>
  <si>
    <t>210/222</t>
  </si>
  <si>
    <t>Consuelo Garelli</t>
  </si>
  <si>
    <t>11h45</t>
  </si>
  <si>
    <t>Aero-Hotel (FR2087)</t>
  </si>
  <si>
    <t>Wash Station</t>
  </si>
  <si>
    <t>20h15</t>
  </si>
  <si>
    <t>Aero - Hotel (DL9446)</t>
  </si>
  <si>
    <t>Aero-Hotel (UA8938)</t>
  </si>
  <si>
    <t>Yohanna Sullivan</t>
  </si>
  <si>
    <t>Aero-Hotel (DL124) (NoShow)</t>
  </si>
  <si>
    <t>16h00</t>
  </si>
  <si>
    <r>
      <t xml:space="preserve">Hotel-Aero </t>
    </r>
    <r>
      <rPr>
        <b/>
        <sz val="10"/>
        <color rgb="FFFF0000"/>
        <rFont val="Calibri"/>
        <family val="2"/>
        <scheme val="minor"/>
      </rPr>
      <t>(NoShow)</t>
    </r>
  </si>
  <si>
    <t>Aero-Hotel (TP563)</t>
  </si>
  <si>
    <t>Aero-Hotel (SK8913)</t>
  </si>
  <si>
    <t>Mark Fisher #501/502</t>
  </si>
  <si>
    <t>Margaret Withworth</t>
  </si>
  <si>
    <r>
      <t xml:space="preserve">Hotel-Aero </t>
    </r>
    <r>
      <rPr>
        <b/>
        <sz val="10"/>
        <rFont val="Calibri"/>
        <family val="2"/>
        <scheme val="minor"/>
      </rPr>
      <t>(VAN) - Matheus!</t>
    </r>
  </si>
  <si>
    <t>Não é serviço - é o valor cobrado extra pela VAN</t>
  </si>
  <si>
    <t>Aero-Hotel (TP1273)</t>
  </si>
  <si>
    <t>18h40</t>
  </si>
  <si>
    <t>Aero-Hotel (BA518)</t>
  </si>
  <si>
    <t>Aero-Hotel (UX1155)</t>
  </si>
  <si>
    <t>Aero-Hotel (TK1755)</t>
  </si>
  <si>
    <t>Aero-Hotel (EJU7606)</t>
  </si>
  <si>
    <t>Aero-Hotel (EW7602)</t>
  </si>
  <si>
    <t>Aero-Hotel (HV5243)</t>
  </si>
  <si>
    <t>Donna Laura Barbey</t>
  </si>
  <si>
    <t>Juli Valliant</t>
  </si>
  <si>
    <t>04h04</t>
  </si>
  <si>
    <t>Hotel- Aero</t>
  </si>
  <si>
    <t>ALCOBIA</t>
  </si>
  <si>
    <t>Value Pack</t>
  </si>
  <si>
    <t>Corinne CAMIADE</t>
  </si>
  <si>
    <t>Aero-Hotel (FR486)</t>
  </si>
  <si>
    <t>Hotel-Rossio comboios</t>
  </si>
  <si>
    <t>Monique Harris</t>
  </si>
  <si>
    <t>Lisa Porter</t>
  </si>
  <si>
    <t>Tour Sintra-Cascais</t>
  </si>
  <si>
    <t>SUYOUN LEE</t>
  </si>
  <si>
    <t>Aero-Hotel (KL1587)</t>
  </si>
  <si>
    <t>Alfred Miller</t>
  </si>
  <si>
    <t xml:space="preserve">André Meyer </t>
  </si>
  <si>
    <t>Aero-Hotel (TP931)</t>
  </si>
  <si>
    <t>07h20</t>
  </si>
  <si>
    <t xml:space="preserve">Maria Cuestas </t>
  </si>
  <si>
    <t>Alexandros Petridis</t>
  </si>
  <si>
    <t>16h25</t>
  </si>
  <si>
    <t>Aero - Hotel (TP1020) (Não foi feito, mas pagou)</t>
  </si>
  <si>
    <t>Mary Hlavinka</t>
  </si>
  <si>
    <t>Theresa Breidigan #504</t>
  </si>
  <si>
    <t>Fernanda da Silva Bockstaller</t>
  </si>
  <si>
    <t>Aero-Hotel (EJU7648)</t>
  </si>
  <si>
    <t xml:space="preserve">Gosselin Eve </t>
  </si>
  <si>
    <t>22h25</t>
  </si>
  <si>
    <t>Aero-Hotel (AF1124)</t>
  </si>
  <si>
    <t>Jacques Barriere #605</t>
  </si>
  <si>
    <t>Ken Konzen #216</t>
  </si>
  <si>
    <t>Keith and Jennifer Carpenter #607</t>
  </si>
  <si>
    <t>Galia Zacay</t>
  </si>
  <si>
    <t>Aero-Hotel (TK1759)</t>
  </si>
  <si>
    <t>WhereTo</t>
  </si>
  <si>
    <t>Alice Woods</t>
  </si>
  <si>
    <t>16h35</t>
  </si>
  <si>
    <t>530-529-330</t>
  </si>
  <si>
    <t>David Upton</t>
  </si>
  <si>
    <t>10h20</t>
  </si>
  <si>
    <t>Alexandre</t>
  </si>
  <si>
    <t>Hans Thurm-Meyer</t>
  </si>
  <si>
    <t>Aero-Hotel (KL1583 )</t>
  </si>
  <si>
    <t>Lorenza Del Prete</t>
  </si>
  <si>
    <t>04h15</t>
  </si>
  <si>
    <t xml:space="preserve">Colette Gardner </t>
  </si>
  <si>
    <t>413/424</t>
  </si>
  <si>
    <t>Lisbon of neighborhoods1/ Lisbon by the river</t>
  </si>
  <si>
    <t xml:space="preserve"> Helder </t>
  </si>
  <si>
    <t>Jean Paul Meuly</t>
  </si>
  <si>
    <t>Lorena Margareth Puentes Nuñez</t>
  </si>
  <si>
    <t xml:space="preserve">Aero-Hotel (IB529) </t>
  </si>
  <si>
    <t>Karoline Kirbach</t>
  </si>
  <si>
    <t>Joan Carlson #107</t>
  </si>
  <si>
    <t>01h30</t>
  </si>
  <si>
    <t>Hotel-Lisboa Oriente</t>
  </si>
  <si>
    <t>Aero-Hotel (BA505)</t>
  </si>
  <si>
    <t>Watson #212</t>
  </si>
  <si>
    <t>Lolanda Peeters #602</t>
  </si>
  <si>
    <t>Aero-Hotel (TP783)</t>
  </si>
  <si>
    <t>22h10</t>
  </si>
  <si>
    <t>Elisabeth Aavall-Lundqvist</t>
  </si>
  <si>
    <t>Hotel-Avis Rent a Car</t>
  </si>
  <si>
    <t>Hotel-NH SINTRA (HOTEL)</t>
  </si>
  <si>
    <t>Aero-Hotel (FR9907)</t>
  </si>
  <si>
    <t>18h45</t>
  </si>
  <si>
    <t>Hotel-Aero Rent a car</t>
  </si>
  <si>
    <t>Hotel-Aero (PAGO em duplicado)</t>
  </si>
  <si>
    <t>Elisa Alvarez Torres</t>
  </si>
  <si>
    <t xml:space="preserve"> Barbara Doan</t>
  </si>
  <si>
    <t xml:space="preserve"> Todd Mickey</t>
  </si>
  <si>
    <t xml:space="preserve"> Mary Garabedian</t>
  </si>
  <si>
    <t>02h20</t>
  </si>
  <si>
    <t>Santa Apolonia-Hotel (Comboio 112 Porto)</t>
  </si>
  <si>
    <t>Marcus</t>
  </si>
  <si>
    <t>Denise</t>
  </si>
  <si>
    <t>Margaret Withworth #220</t>
  </si>
  <si>
    <t>Karin Lundstedt #307</t>
  </si>
  <si>
    <t>Aero-Hotel (TP531)</t>
  </si>
  <si>
    <t>TIP A SERIO</t>
  </si>
  <si>
    <t>A MENOS</t>
  </si>
  <si>
    <t>Jeanette de Vries</t>
  </si>
  <si>
    <t>Luis Arocho #605</t>
  </si>
  <si>
    <t>Aero-Hotel (TO7658)</t>
  </si>
  <si>
    <t>Melinda Fowler</t>
  </si>
  <si>
    <t>Gwyneth Dwyer</t>
  </si>
  <si>
    <t>A mais</t>
  </si>
  <si>
    <t>03h00</t>
  </si>
  <si>
    <t>Andrea Clausen</t>
  </si>
  <si>
    <t>David Cameron</t>
  </si>
  <si>
    <t>Jean Paul Meuly #115</t>
  </si>
  <si>
    <t>Donald LaCheree</t>
  </si>
  <si>
    <t>Antoinette Gardner</t>
  </si>
  <si>
    <t>07h50</t>
  </si>
  <si>
    <t>Aero-Hotel (TP829)</t>
  </si>
  <si>
    <t>Anne Gaisberger</t>
  </si>
  <si>
    <t>Aero-Hotel ( TP1826)</t>
  </si>
  <si>
    <t>Aaron Butcher #317</t>
  </si>
  <si>
    <t>Anne Prior</t>
  </si>
  <si>
    <t>Aero-Hotel (TP244) Reservou 25 mas chega 26</t>
  </si>
  <si>
    <t>12h35</t>
  </si>
  <si>
    <t>Aero-Hotel (EK0191)</t>
  </si>
  <si>
    <t>501/502/509</t>
  </si>
  <si>
    <t>21h50</t>
  </si>
  <si>
    <t>Aero-Hotel (V73594)</t>
  </si>
  <si>
    <t xml:space="preserve">Ana Rojas </t>
  </si>
  <si>
    <t>Aero-Hotel (BA6844)</t>
  </si>
  <si>
    <t>#411 Cameron McLevedge</t>
  </si>
  <si>
    <t>#410 Jeanette de Vries</t>
  </si>
  <si>
    <t>219/230</t>
  </si>
  <si>
    <t>Ross McNeill #330</t>
  </si>
  <si>
    <t>Chris Buss</t>
  </si>
  <si>
    <t>Hotel-Aero (Avis rent-a-car)</t>
  </si>
  <si>
    <t>Hotel-Sta Apolónia</t>
  </si>
  <si>
    <t>Lisa Wehse #205</t>
  </si>
  <si>
    <t>Joseph Angulo #512</t>
  </si>
  <si>
    <t>David Schoonmaker #214</t>
  </si>
  <si>
    <t>Alexandros Petridis #312</t>
  </si>
  <si>
    <r>
      <t xml:space="preserve">Hotel-Aero </t>
    </r>
    <r>
      <rPr>
        <b/>
        <sz val="10"/>
        <rFont val="Calibri"/>
        <family val="2"/>
        <scheme val="minor"/>
      </rPr>
      <t>(AVISAR DRIVER PARA COBRAR 60€)</t>
    </r>
  </si>
  <si>
    <r>
      <t>Aero-Hotel (QR341) (</t>
    </r>
    <r>
      <rPr>
        <b/>
        <sz val="10"/>
        <rFont val="Calibri"/>
        <family val="2"/>
        <scheme val="minor"/>
      </rPr>
      <t>Pago ao DRIVER)</t>
    </r>
  </si>
  <si>
    <r>
      <t xml:space="preserve">Aero-Hotel (UA64) </t>
    </r>
    <r>
      <rPr>
        <b/>
        <sz val="10"/>
        <rFont val="Calibri"/>
        <family val="2"/>
        <scheme val="minor"/>
      </rPr>
      <t>Pago ao Driver</t>
    </r>
  </si>
  <si>
    <t>02h30</t>
  </si>
  <si>
    <t>416/428</t>
  </si>
  <si>
    <t>Lisa Jacobsson #205</t>
  </si>
  <si>
    <r>
      <t xml:space="preserve">Hotel-Aero </t>
    </r>
    <r>
      <rPr>
        <b/>
        <sz val="10"/>
        <rFont val="Calibri"/>
        <family val="2"/>
        <scheme val="minor"/>
      </rPr>
      <t>(PAGA AO DRIVER COM CARTÃO)</t>
    </r>
  </si>
  <si>
    <t xml:space="preserve">Carla Alpendre </t>
  </si>
  <si>
    <t>08H20</t>
  </si>
  <si>
    <t>20h46</t>
  </si>
  <si>
    <t>Hendrik Jan van Bottenburg</t>
  </si>
  <si>
    <t>Aero-Hotel (TP761)</t>
  </si>
  <si>
    <t>CONTAR EM OUTUBRO</t>
  </si>
  <si>
    <t>208/209</t>
  </si>
  <si>
    <t xml:space="preserve">#326 - Donna Laura Barbey </t>
  </si>
  <si>
    <t>#309 Katelyn Cafaro</t>
  </si>
  <si>
    <t>19h45</t>
  </si>
  <si>
    <t>Oriente Comboios-Hotel</t>
  </si>
  <si>
    <t>#401 Steve Korman</t>
  </si>
  <si>
    <t>Ana Rojas</t>
  </si>
  <si>
    <t>Marry Henny</t>
  </si>
  <si>
    <t>416/428 - Tomera</t>
  </si>
  <si>
    <t>Aero-Hotel (Delta 272)</t>
  </si>
  <si>
    <t>08h34</t>
  </si>
  <si>
    <t>Chelsea Weir</t>
  </si>
  <si>
    <t>Adelman</t>
  </si>
  <si>
    <t>15h50</t>
  </si>
  <si>
    <t>Alan Adelman</t>
  </si>
  <si>
    <t>Hotel-Sete Rios</t>
  </si>
  <si>
    <t>Tour Sintra/Cascais (Pack)</t>
  </si>
  <si>
    <t>Tour Fátima/Óbidos (Pack)</t>
  </si>
  <si>
    <t>#313 Thomas Atkins</t>
  </si>
  <si>
    <t>#408 Connie Kleier Mcglynn</t>
  </si>
  <si>
    <t>Aero-Hotel (BA528)</t>
  </si>
  <si>
    <t xml:space="preserve"> Dawn Carpenter</t>
  </si>
  <si>
    <t xml:space="preserve">Aero-Hotel British Airways flight 505 </t>
  </si>
  <si>
    <t>12h05</t>
  </si>
  <si>
    <t>John Stephens</t>
  </si>
  <si>
    <t xml:space="preserve">Tour Sintra/Cascais </t>
  </si>
  <si>
    <t>13h15</t>
  </si>
  <si>
    <t>#225/506 Wallbank | Abela</t>
  </si>
  <si>
    <t>Tim Savage</t>
  </si>
  <si>
    <t>14h55</t>
  </si>
  <si>
    <t>Aero - Hotel (BA0506)</t>
  </si>
  <si>
    <t>Francesco Carofiglio</t>
  </si>
  <si>
    <t>Aero-Hotel (EJU7674)</t>
  </si>
  <si>
    <t>22h55</t>
  </si>
  <si>
    <t>Lisbon of Hills II</t>
  </si>
  <si>
    <t>Tuktuk Tejo</t>
  </si>
  <si>
    <t>#507 Carol DeMarco</t>
  </si>
  <si>
    <t>#519 Elisa Alvarez Torres</t>
  </si>
  <si>
    <t>#222 Aurea Julieta Nieva</t>
  </si>
  <si>
    <t>O´Day</t>
  </si>
  <si>
    <t>314/315</t>
  </si>
  <si>
    <t>Hotel-Cruzeiros</t>
  </si>
  <si>
    <t>#419 Matthew Obreza</t>
  </si>
  <si>
    <t>08h:00</t>
  </si>
  <si>
    <t>Hotel - Aeroporto Rent a car Portela</t>
  </si>
  <si>
    <t>607 / Leprohon Bernard</t>
  </si>
  <si>
    <t>Yuunaga Tetsuhi</t>
  </si>
  <si>
    <t>23H35</t>
  </si>
  <si>
    <t>Aero - Hotel (TK1779)</t>
  </si>
  <si>
    <t>08H00</t>
  </si>
  <si>
    <t>Artur 112</t>
  </si>
  <si>
    <t>202/207</t>
  </si>
  <si>
    <t>17h20</t>
  </si>
  <si>
    <t>Lisbon of Hills I</t>
  </si>
  <si>
    <t>tip</t>
  </si>
  <si>
    <t>David Hanks</t>
  </si>
  <si>
    <t>08h40</t>
  </si>
  <si>
    <t xml:space="preserve">Hotel-Aero </t>
  </si>
  <si>
    <t>#107 Kate Gunn</t>
  </si>
  <si>
    <t>607 / Bernard Leprohon</t>
  </si>
  <si>
    <t>Clarke, Jonathan</t>
  </si>
  <si>
    <t>22h30</t>
  </si>
  <si>
    <t>Aero-Hotel(TP1015 )</t>
  </si>
  <si>
    <t>Mariana Perdomo Barros</t>
  </si>
  <si>
    <t>407 / Stav Assi</t>
  </si>
  <si>
    <t xml:space="preserve">Aj Alles </t>
  </si>
  <si>
    <t xml:space="preserve">Iconic Pack </t>
  </si>
  <si>
    <t>530 / Maria Lourdes</t>
  </si>
  <si>
    <t>05H40</t>
  </si>
  <si>
    <t>Catherine Marco</t>
  </si>
  <si>
    <t>Aero-Hotel(TP218)-Jeronimos</t>
  </si>
  <si>
    <t>05H20</t>
  </si>
  <si>
    <t>Aero-Hotel (TO124)</t>
  </si>
  <si>
    <t>Keenan Cluskey</t>
  </si>
  <si>
    <r>
      <t xml:space="preserve">Hotel-Aero </t>
    </r>
    <r>
      <rPr>
        <b/>
        <sz val="10"/>
        <rFont val="Calibri"/>
        <family val="2"/>
        <scheme val="minor"/>
      </rPr>
      <t>(PAGO AO DRIVER)</t>
    </r>
  </si>
  <si>
    <t>16h45</t>
  </si>
  <si>
    <t>FundoManeio 14.10</t>
  </si>
  <si>
    <t>#607 Bernard Leprohon</t>
  </si>
  <si>
    <t>Sheila Mujagic</t>
  </si>
  <si>
    <t>Aero-Hotel (EJU7664)</t>
  </si>
  <si>
    <t>23h10</t>
  </si>
  <si>
    <t>06H15</t>
  </si>
  <si>
    <t>Gadi Wainer</t>
  </si>
  <si>
    <t>20H55</t>
  </si>
  <si>
    <t>Aero - Hotel (LY375)</t>
  </si>
  <si>
    <t xml:space="preserve">Robert Pilcher </t>
  </si>
  <si>
    <t>18h25</t>
  </si>
  <si>
    <t>Aero-Hotel (EZY2463)</t>
  </si>
  <si>
    <t>Harris, Emma Jean</t>
  </si>
  <si>
    <t>Ana Baruch</t>
  </si>
  <si>
    <t>Aero-Hotel (TP0863)</t>
  </si>
  <si>
    <t>04H30</t>
  </si>
  <si>
    <t>Papelaria</t>
  </si>
  <si>
    <t>07H15</t>
  </si>
  <si>
    <t>Hotel - Oriente Train Station</t>
  </si>
  <si>
    <t>Haris Raonic</t>
  </si>
  <si>
    <t>15H10</t>
  </si>
  <si>
    <t>Aero - Hotel (Os8151)</t>
  </si>
  <si>
    <t>06H45</t>
  </si>
  <si>
    <t>08H50</t>
  </si>
  <si>
    <t>Hotel - Oriente train station</t>
  </si>
  <si>
    <t>Arselia</t>
  </si>
  <si>
    <t>321 |Giuseppe</t>
  </si>
  <si>
    <t>322 | Maria Fernanda</t>
  </si>
  <si>
    <t xml:space="preserve">Hotel- Atelie da Cortiça (Venda do pinheiro) </t>
  </si>
  <si>
    <t>211 Hintermann</t>
  </si>
  <si>
    <t>108 Hijnen</t>
  </si>
  <si>
    <t>Veronika Vasileiou</t>
  </si>
  <si>
    <t>Aero-hotel (A3722)</t>
  </si>
  <si>
    <t>#324 Candace Branch</t>
  </si>
  <si>
    <t>hotel- Santa Apolonia</t>
  </si>
  <si>
    <t>Falha Carla, cliente pegou UBER, vai pagar comissao</t>
  </si>
  <si>
    <t xml:space="preserve">Parreirinha </t>
  </si>
  <si>
    <t>10H15</t>
  </si>
  <si>
    <t>22H05</t>
  </si>
  <si>
    <t>Aero-Hotel ( FR9747 )</t>
  </si>
  <si>
    <t>Michael George Thomas</t>
  </si>
  <si>
    <t>14H00</t>
  </si>
  <si>
    <t>Hotel - aero</t>
  </si>
  <si>
    <t>308/307</t>
  </si>
  <si>
    <t>Aero-Hotel (tp1323)</t>
  </si>
  <si>
    <t>206/208</t>
  </si>
  <si>
    <t>11H15</t>
  </si>
  <si>
    <r>
      <t>Hotel- Aero (</t>
    </r>
    <r>
      <rPr>
        <b/>
        <sz val="10"/>
        <rFont val="Calibri"/>
        <family val="2"/>
        <scheme val="minor"/>
      </rPr>
      <t>PAGAR COM CARTÃO AO DRIVER</t>
    </r>
    <r>
      <rPr>
        <sz val="10"/>
        <rFont val="Calibri"/>
        <family val="2"/>
        <scheme val="minor"/>
      </rPr>
      <t>)</t>
    </r>
  </si>
  <si>
    <t>15h</t>
  </si>
  <si>
    <t>Michael Thomas 506</t>
  </si>
  <si>
    <t>Hotel-Terminal cruzeiros (Cancelado)</t>
  </si>
  <si>
    <t>Falha Carla</t>
  </si>
  <si>
    <t xml:space="preserve">A mais </t>
  </si>
  <si>
    <t>18H30</t>
  </si>
  <si>
    <t>Hotel Aero</t>
  </si>
  <si>
    <t>02H00</t>
  </si>
  <si>
    <t>18H</t>
  </si>
  <si>
    <t>Brenden Scholtz</t>
  </si>
  <si>
    <t>Barry Hayward / 608</t>
  </si>
  <si>
    <t>DEVOLUÇÃO</t>
  </si>
  <si>
    <t>Zsolt Dr. Domborócski - 418</t>
  </si>
  <si>
    <t>Dr Zsolt Domboróczki - 418</t>
  </si>
  <si>
    <t>Tips Dividas</t>
  </si>
  <si>
    <t>13H00</t>
  </si>
  <si>
    <t>Cabo da Roca Half day</t>
  </si>
  <si>
    <t>Bem Goodier</t>
  </si>
  <si>
    <t>19h20</t>
  </si>
  <si>
    <t>Aero-Hotel (EJU6712)</t>
  </si>
  <si>
    <t>Marissa Ejanda</t>
  </si>
  <si>
    <t xml:space="preserve">Hotel - Gare do Oriente </t>
  </si>
  <si>
    <t>WELLS VANITA</t>
  </si>
  <si>
    <t>AERO-HOTEL</t>
  </si>
  <si>
    <t>HOTEL-AERO</t>
  </si>
  <si>
    <t>Diane Grace | 511</t>
  </si>
  <si>
    <t>06h25</t>
  </si>
  <si>
    <t>216 | Alberto Carlos</t>
  </si>
  <si>
    <t xml:space="preserve">222 | Odgaard Thomas </t>
  </si>
  <si>
    <t>hotel-aero</t>
  </si>
  <si>
    <t>erro deposito 17/10</t>
  </si>
  <si>
    <t>16H30</t>
  </si>
  <si>
    <t>10H00</t>
  </si>
  <si>
    <t>05H45</t>
  </si>
  <si>
    <t>Deborah Ann / 417</t>
  </si>
  <si>
    <t>Sarah Michaela / 502</t>
  </si>
  <si>
    <t>Tonya Scardina</t>
  </si>
  <si>
    <t>Aaidrea/223</t>
  </si>
  <si>
    <t>Jody Thomas 314</t>
  </si>
  <si>
    <t>Group Vallaster Steuerberatung</t>
  </si>
  <si>
    <t>19H55</t>
  </si>
  <si>
    <t>Aero - Hotel (TP933)</t>
  </si>
  <si>
    <t>16H15</t>
  </si>
  <si>
    <t>Terminal Cruzeiros - Hotel</t>
  </si>
  <si>
    <t>TIPS</t>
  </si>
  <si>
    <t>CAIXA</t>
  </si>
  <si>
    <t>07H00</t>
  </si>
  <si>
    <t>114 / 116</t>
  </si>
  <si>
    <t>12h36</t>
  </si>
  <si>
    <t>09H00</t>
  </si>
  <si>
    <t>10H30</t>
  </si>
  <si>
    <t>Hotel-Aero(Carla)</t>
  </si>
  <si>
    <t>406/Mariana Ferreira</t>
  </si>
  <si>
    <t>603/604</t>
  </si>
  <si>
    <t>Arsélia</t>
  </si>
  <si>
    <t>Hotel-aero</t>
  </si>
  <si>
    <t>Aida Lucia Capote</t>
  </si>
  <si>
    <t xml:space="preserve">Erica </t>
  </si>
  <si>
    <t>Sinuk Kang</t>
  </si>
  <si>
    <t>6H</t>
  </si>
  <si>
    <t>Silvia</t>
  </si>
  <si>
    <t>Pack Essencial</t>
  </si>
  <si>
    <t>Pack iconic</t>
  </si>
  <si>
    <t>604/605</t>
  </si>
  <si>
    <t>Peter Curtin</t>
  </si>
  <si>
    <t>Aero-Hotel (TS680)</t>
  </si>
  <si>
    <t>Marguife Layos</t>
  </si>
  <si>
    <t xml:space="preserve">A menos </t>
  </si>
  <si>
    <t>André</t>
  </si>
  <si>
    <t>Frances Cook</t>
  </si>
  <si>
    <t>9h20</t>
  </si>
  <si>
    <t>Aero-Hotel (TP 1929)</t>
  </si>
  <si>
    <t>Liliane Bruggman</t>
  </si>
  <si>
    <t>09h3</t>
  </si>
  <si>
    <t>Tuktuk Tejo (Lisbon by the River)</t>
  </si>
  <si>
    <t>Aki Toivonen</t>
  </si>
  <si>
    <t>Aero-Hotel (AY1739)</t>
  </si>
  <si>
    <t>Frederick Randolph</t>
  </si>
  <si>
    <t xml:space="preserve">101_102 </t>
  </si>
  <si>
    <t xml:space="preserve">City Tax </t>
  </si>
  <si>
    <t>07H45</t>
  </si>
  <si>
    <t>14H20</t>
  </si>
  <si>
    <t>06H30</t>
  </si>
  <si>
    <t>07H30</t>
  </si>
  <si>
    <t>rosas</t>
  </si>
  <si>
    <t>8h20</t>
  </si>
  <si>
    <t>6h00</t>
  </si>
  <si>
    <t>08H30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</si>
</sst>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4" fillId="0" borderId="11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44" fontId="4" fillId="0" borderId="12" xfId="0" applyNumberFormat="1" applyFont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vertical="top" wrapText="1"/>
      <protection locked="0"/>
    </xf>
    <xf numFmtId="3" fontId="6" fillId="5" borderId="12" xfId="0" applyNumberFormat="1" applyFont="1" applyFill="1" applyBorder="1" applyAlignment="1" applyProtection="1">
      <alignment horizontal="center" vertical="center" wrapText="1"/>
      <protection locked="0"/>
    </xf>
    <xf numFmtId="44" fontId="4" fillId="0" borderId="34" xfId="0" applyNumberFormat="1" applyFont="1" applyBorder="1" applyAlignment="1" applyProtection="1">
      <alignment horizontal="center" vertical="center" wrapText="1"/>
      <protection locked="0"/>
    </xf>
    <xf numFmtId="20" fontId="4" fillId="0" borderId="12" xfId="0" applyNumberFormat="1" applyFont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44" fontId="4" fillId="0" borderId="25" xfId="0" applyNumberFormat="1" applyFont="1" applyBorder="1" applyAlignment="1" applyProtection="1">
      <alignment horizontal="center" vertical="center" wrapText="1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0" fillId="0" borderId="46" xfId="0" applyBorder="1"/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20" fontId="4" fillId="0" borderId="13" xfId="0" applyNumberFormat="1" applyFont="1" applyBorder="1" applyAlignment="1" applyProtection="1">
      <alignment horizontal="center" vertical="center" wrapText="1"/>
      <protection locked="0"/>
    </xf>
    <xf numFmtId="0" fontId="4" fillId="0" borderId="12" xfId="0" applyFont="1" applyBorder="1" applyAlignment="1" applyProtection="1">
      <alignment horizontal="center" wrapText="1"/>
      <protection locked="0"/>
    </xf>
    <xf numFmtId="0" fontId="4" fillId="0" borderId="13" xfId="0" quotePrefix="1" applyFont="1" applyBorder="1" applyAlignment="1" applyProtection="1">
      <alignment horizontal="center" vertical="center" wrapText="1"/>
      <protection locked="0"/>
    </xf>
    <xf numFmtId="0" fontId="4" fillId="0" borderId="40" xfId="0" applyFont="1" applyBorder="1" applyAlignment="1" applyProtection="1">
      <alignment horizontal="center" vertical="center" wrapText="1"/>
      <protection locked="0"/>
    </xf>
    <xf numFmtId="22" fontId="4" fillId="0" borderId="40" xfId="0" applyNumberFormat="1" applyFont="1" applyBorder="1" applyAlignment="1" applyProtection="1">
      <alignment horizontal="center" vertical="center" wrapText="1"/>
      <protection locked="0"/>
    </xf>
    <xf numFmtId="0" fontId="4" fillId="2" borderId="64" xfId="0" applyFont="1" applyFill="1" applyBorder="1" applyAlignment="1" applyProtection="1">
      <alignment horizontal="center" vertical="center" wrapText="1"/>
      <protection locked="0"/>
    </xf>
    <xf numFmtId="3" fontId="6" fillId="5" borderId="17" xfId="0" applyNumberFormat="1" applyFont="1" applyFill="1" applyBorder="1" applyAlignment="1" applyProtection="1">
      <alignment horizontal="center" vertical="center" wrapText="1"/>
      <protection locked="0"/>
    </xf>
    <xf numFmtId="8" fontId="6" fillId="5" borderId="15" xfId="1" applyNumberFormat="1" applyFont="1" applyFill="1" applyBorder="1" applyAlignment="1" applyProtection="1">
      <alignment horizontal="center" vertical="center" wrapText="1"/>
      <protection locked="0"/>
    </xf>
    <xf numFmtId="3" fontId="6" fillId="5" borderId="25" xfId="0" applyNumberFormat="1" applyFont="1" applyFill="1" applyBorder="1" applyAlignment="1" applyProtection="1">
      <alignment horizontal="center" vertical="center" wrapText="1"/>
      <protection locked="0"/>
    </xf>
    <xf numFmtId="3" fontId="6" fillId="5" borderId="34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39" xfId="0" applyFont="1" applyFill="1" applyBorder="1" applyAlignment="1" applyProtection="1">
      <alignment horizontal="center" vertical="center" wrapText="1"/>
      <protection locked="0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 wrapText="1"/>
      <protection locked="0"/>
    </xf>
    <xf numFmtId="0" fontId="6" fillId="5" borderId="66" xfId="0" applyFont="1" applyFill="1" applyBorder="1" applyAlignment="1" applyProtection="1">
      <alignment horizontal="center" vertical="center" wrapText="1"/>
      <protection locked="0"/>
    </xf>
    <xf numFmtId="8" fontId="6" fillId="5" borderId="35" xfId="1" applyNumberFormat="1" applyFont="1" applyFill="1" applyBorder="1" applyAlignment="1" applyProtection="1">
      <alignment horizontal="center" vertical="center" wrapText="1"/>
      <protection locked="0"/>
    </xf>
    <xf numFmtId="0" fontId="6" fillId="5" borderId="42" xfId="0" applyFont="1" applyFill="1" applyBorder="1" applyAlignment="1" applyProtection="1">
      <alignment horizontal="center" vertical="center" wrapText="1"/>
      <protection locked="0"/>
    </xf>
    <xf numFmtId="8" fontId="6" fillId="5" borderId="26" xfId="1" applyNumberFormat="1" applyFont="1" applyFill="1" applyBorder="1" applyAlignment="1" applyProtection="1">
      <alignment horizontal="center" vertical="center" wrapText="1"/>
      <protection locked="0"/>
    </xf>
    <xf numFmtId="3" fontId="6" fillId="5" borderId="67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62" xfId="0" applyFont="1" applyFill="1" applyBorder="1" applyAlignment="1" applyProtection="1">
      <alignment horizontal="center" vertical="center" wrapText="1"/>
      <protection locked="0"/>
    </xf>
    <xf numFmtId="8" fontId="6" fillId="5" borderId="57" xfId="1" applyNumberFormat="1" applyFont="1" applyFill="1" applyBorder="1" applyAlignment="1" applyProtection="1">
      <alignment horizontal="center" vertical="center" wrapText="1"/>
      <protection locked="0"/>
    </xf>
    <xf numFmtId="0" fontId="0" fillId="5" borderId="39" xfId="0" applyFill="1" applyBorder="1" applyAlignment="1" applyProtection="1">
      <alignment horizontal="center" vertical="center" wrapText="1"/>
      <protection locked="0"/>
    </xf>
    <xf numFmtId="8" fontId="0" fillId="5" borderId="15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164" fontId="6" fillId="0" borderId="12" xfId="1" applyNumberFormat="1" applyFont="1" applyFill="1" applyBorder="1" applyAlignment="1" applyProtection="1">
      <alignment horizontal="right" vertical="center" wrapText="1"/>
      <protection locked="0"/>
    </xf>
    <xf numFmtId="44" fontId="6" fillId="0" borderId="15" xfId="0" applyNumberFormat="1" applyFont="1" applyBorder="1" applyAlignment="1" applyProtection="1">
      <alignment horizontal="center" vertical="center" wrapText="1"/>
      <protection locked="0"/>
    </xf>
    <xf numFmtId="164" fontId="6" fillId="0" borderId="12" xfId="0" applyNumberFormat="1" applyFont="1" applyBorder="1" applyAlignment="1" applyProtection="1">
      <alignment horizontal="right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right" vertical="center" wrapText="1"/>
      <protection locked="0"/>
    </xf>
    <xf numFmtId="44" fontId="6" fillId="0" borderId="26" xfId="0" applyNumberFormat="1" applyFont="1" applyBorder="1" applyAlignment="1" applyProtection="1">
      <alignment horizontal="center" vertical="center" wrapText="1"/>
      <protection locked="0"/>
    </xf>
    <xf numFmtId="8" fontId="0" fillId="5" borderId="15" xfId="0" applyNumberFormat="1" applyFill="1" applyBorder="1" applyAlignment="1" applyProtection="1">
      <alignment horizontal="center" vertical="center" wrapText="1"/>
      <protection locked="0"/>
    </xf>
    <xf numFmtId="164" fontId="0" fillId="5" borderId="15" xfId="0" applyNumberForma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3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44" fontId="0" fillId="5" borderId="17" xfId="0" applyNumberFormat="1" applyFill="1" applyBorder="1" applyAlignment="1">
      <alignment horizontal="center" vertical="center" wrapText="1"/>
    </xf>
    <xf numFmtId="44" fontId="0" fillId="5" borderId="18" xfId="0" applyNumberForma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44" fontId="0" fillId="5" borderId="12" xfId="0" applyNumberFormat="1" applyFill="1" applyBorder="1" applyAlignment="1">
      <alignment horizontal="center" vertical="center" wrapText="1"/>
    </xf>
    <xf numFmtId="44" fontId="0" fillId="5" borderId="15" xfId="0" applyNumberForma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6" fontId="0" fillId="5" borderId="12" xfId="0" applyNumberForma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44" fontId="0" fillId="5" borderId="25" xfId="0" applyNumberFormat="1" applyFill="1" applyBorder="1" applyAlignment="1">
      <alignment horizontal="center" vertical="center" wrapText="1"/>
    </xf>
    <xf numFmtId="6" fontId="0" fillId="5" borderId="34" xfId="0" applyNumberFormat="1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44" fontId="3" fillId="2" borderId="29" xfId="0" applyNumberFormat="1" applyFont="1" applyFill="1" applyBorder="1" applyAlignment="1">
      <alignment horizontal="center" vertical="center" wrapText="1"/>
    </xf>
    <xf numFmtId="44" fontId="3" fillId="2" borderId="30" xfId="0" applyNumberFormat="1" applyFont="1" applyFill="1" applyBorder="1" applyAlignment="1">
      <alignment horizontal="center" vertical="center" wrapText="1"/>
    </xf>
    <xf numFmtId="44" fontId="5" fillId="9" borderId="31" xfId="0" applyNumberFormat="1" applyFont="1" applyFill="1" applyBorder="1" applyAlignment="1">
      <alignment horizontal="center" vertical="center" wrapText="1"/>
    </xf>
    <xf numFmtId="6" fontId="0" fillId="5" borderId="25" xfId="0" applyNumberFormat="1" applyFill="1" applyBorder="1" applyAlignment="1">
      <alignment horizontal="center" vertical="center"/>
    </xf>
    <xf numFmtId="6" fontId="0" fillId="5" borderId="25" xfId="0" applyNumberFormat="1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164" fontId="0" fillId="5" borderId="17" xfId="0" applyNumberFormat="1" applyFill="1" applyBorder="1" applyAlignment="1">
      <alignment horizontal="right" vertical="center" wrapText="1"/>
    </xf>
    <xf numFmtId="0" fontId="0" fillId="5" borderId="11" xfId="0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164" fontId="0" fillId="5" borderId="12" xfId="0" applyNumberFormat="1" applyFill="1" applyBorder="1" applyAlignment="1">
      <alignment horizontal="right" vertical="center" wrapText="1"/>
    </xf>
    <xf numFmtId="164" fontId="6" fillId="5" borderId="16" xfId="0" applyNumberFormat="1" applyFont="1" applyFill="1" applyBorder="1" applyAlignment="1">
      <alignment horizontal="center" vertical="center" wrapText="1"/>
    </xf>
    <xf numFmtId="164" fontId="6" fillId="5" borderId="11" xfId="0" applyNumberFormat="1" applyFont="1" applyFill="1" applyBorder="1" applyAlignment="1">
      <alignment horizontal="center" vertical="center" wrapText="1"/>
    </xf>
    <xf numFmtId="164" fontId="6" fillId="5" borderId="24" xfId="0" applyNumberFormat="1" applyFont="1" applyFill="1" applyBorder="1" applyAlignment="1">
      <alignment horizontal="center" vertical="center" wrapText="1"/>
    </xf>
    <xf numFmtId="164" fontId="6" fillId="5" borderId="18" xfId="0" applyNumberFormat="1" applyFont="1" applyFill="1" applyBorder="1" applyAlignment="1">
      <alignment horizontal="center" vertical="center" wrapText="1"/>
    </xf>
    <xf numFmtId="164" fontId="6" fillId="5" borderId="15" xfId="0" applyNumberFormat="1" applyFont="1" applyFill="1" applyBorder="1" applyAlignment="1">
      <alignment horizontal="center" vertical="center" wrapText="1"/>
    </xf>
    <xf numFmtId="164" fontId="6" fillId="5" borderId="26" xfId="0" applyNumberFormat="1" applyFont="1" applyFill="1" applyBorder="1" applyAlignment="1">
      <alignment horizontal="center" vertical="center" wrapText="1"/>
    </xf>
    <xf numFmtId="164" fontId="6" fillId="5" borderId="57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5" borderId="11" xfId="0" applyNumberFormat="1" applyFont="1" applyFill="1" applyBorder="1" applyAlignment="1">
      <alignment horizontal="center" vertical="center"/>
    </xf>
    <xf numFmtId="164" fontId="7" fillId="7" borderId="35" xfId="0" applyNumberFormat="1" applyFont="1" applyFill="1" applyBorder="1" applyAlignment="1">
      <alignment horizontal="center" vertical="center" wrapText="1"/>
    </xf>
    <xf numFmtId="164" fontId="6" fillId="5" borderId="68" xfId="0" applyNumberFormat="1" applyFont="1" applyFill="1" applyBorder="1" applyAlignment="1">
      <alignment horizontal="center" vertical="center" wrapText="1"/>
    </xf>
    <xf numFmtId="164" fontId="7" fillId="7" borderId="26" xfId="0" applyNumberFormat="1" applyFont="1" applyFill="1" applyBorder="1" applyAlignment="1">
      <alignment horizontal="center" vertical="center" wrapText="1"/>
    </xf>
    <xf numFmtId="164" fontId="6" fillId="5" borderId="69" xfId="0" applyNumberFormat="1" applyFont="1" applyFill="1" applyBorder="1" applyAlignment="1">
      <alignment horizontal="center" vertical="center" wrapText="1"/>
    </xf>
    <xf numFmtId="164" fontId="6" fillId="5" borderId="55" xfId="0" applyNumberFormat="1" applyFont="1" applyFill="1" applyBorder="1" applyAlignment="1">
      <alignment horizontal="center" vertical="center" wrapText="1"/>
    </xf>
    <xf numFmtId="164" fontId="6" fillId="5" borderId="14" xfId="0" applyNumberFormat="1" applyFont="1" applyFill="1" applyBorder="1" applyAlignment="1">
      <alignment horizontal="center" vertical="center" wrapText="1"/>
    </xf>
    <xf numFmtId="164" fontId="7" fillId="9" borderId="54" xfId="0" applyNumberFormat="1" applyFont="1" applyFill="1" applyBorder="1" applyAlignment="1">
      <alignment horizontal="center" vertical="center" wrapText="1"/>
    </xf>
    <xf numFmtId="164" fontId="7" fillId="9" borderId="18" xfId="0" applyNumberFormat="1" applyFont="1" applyFill="1" applyBorder="1" applyAlignment="1">
      <alignment horizontal="center" vertical="center" wrapText="1"/>
    </xf>
    <xf numFmtId="164" fontId="7" fillId="8" borderId="56" xfId="0" applyNumberFormat="1" applyFont="1" applyFill="1" applyBorder="1" applyAlignment="1">
      <alignment horizontal="center" vertical="center" wrapText="1"/>
    </xf>
    <xf numFmtId="164" fontId="7" fillId="8" borderId="31" xfId="0" applyNumberFormat="1" applyFont="1" applyFill="1" applyBorder="1" applyAlignment="1">
      <alignment horizontal="center" vertical="center" wrapText="1"/>
    </xf>
    <xf numFmtId="164" fontId="7" fillId="8" borderId="54" xfId="0" applyNumberFormat="1" applyFont="1" applyFill="1" applyBorder="1" applyAlignment="1">
      <alignment horizontal="center" vertical="center" wrapText="1"/>
    </xf>
    <xf numFmtId="164" fontId="7" fillId="8" borderId="18" xfId="0" applyNumberFormat="1" applyFont="1" applyFill="1" applyBorder="1" applyAlignment="1">
      <alignment horizontal="center" vertical="center" wrapText="1"/>
    </xf>
    <xf numFmtId="164" fontId="7" fillId="8" borderId="42" xfId="0" applyNumberFormat="1" applyFont="1" applyFill="1" applyBorder="1" applyAlignment="1">
      <alignment horizontal="center" vertical="center" wrapText="1"/>
    </xf>
    <xf numFmtId="164" fontId="11" fillId="2" borderId="31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164" fontId="7" fillId="3" borderId="52" xfId="0" applyNumberFormat="1" applyFont="1" applyFill="1" applyBorder="1" applyAlignment="1">
      <alignment horizontal="center" vertical="center" wrapText="1"/>
    </xf>
    <xf numFmtId="164" fontId="7" fillId="3" borderId="54" xfId="0" applyNumberFormat="1" applyFont="1" applyFill="1" applyBorder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wrapText="1"/>
    </xf>
    <xf numFmtId="8" fontId="7" fillId="3" borderId="19" xfId="0" applyNumberFormat="1" applyFont="1" applyFill="1" applyBorder="1" applyAlignment="1">
      <alignment horizontal="center" vertical="center" wrapText="1"/>
    </xf>
    <xf numFmtId="164" fontId="7" fillId="11" borderId="31" xfId="0" applyNumberFormat="1" applyFont="1" applyFill="1" applyBorder="1" applyAlignment="1">
      <alignment horizontal="center" vertical="center" wrapText="1"/>
    </xf>
    <xf numFmtId="164" fontId="7" fillId="11" borderId="52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164" fontId="7" fillId="11" borderId="18" xfId="0" applyNumberFormat="1" applyFont="1" applyFill="1" applyBorder="1" applyAlignment="1">
      <alignment horizontal="center" vertical="center" wrapText="1"/>
    </xf>
    <xf numFmtId="8" fontId="7" fillId="11" borderId="41" xfId="0" applyNumberFormat="1" applyFont="1" applyFill="1" applyBorder="1" applyAlignment="1">
      <alignment horizontal="center" vertical="center" wrapText="1"/>
    </xf>
    <xf numFmtId="8" fontId="11" fillId="11" borderId="57" xfId="0" applyNumberFormat="1" applyFont="1" applyFill="1" applyBorder="1" applyAlignment="1">
      <alignment horizontal="center" vertical="center" wrapText="1"/>
    </xf>
    <xf numFmtId="164" fontId="6" fillId="5" borderId="33" xfId="0" applyNumberFormat="1" applyFont="1" applyFill="1" applyBorder="1" applyAlignment="1">
      <alignment horizontal="center" vertical="center" wrapText="1"/>
    </xf>
    <xf numFmtId="8" fontId="7" fillId="3" borderId="22" xfId="0" applyNumberFormat="1" applyFont="1" applyFill="1" applyBorder="1" applyAlignment="1">
      <alignment horizontal="center" vertical="center" wrapText="1"/>
    </xf>
    <xf numFmtId="164" fontId="7" fillId="11" borderId="26" xfId="0" applyNumberFormat="1" applyFont="1" applyFill="1" applyBorder="1" applyAlignment="1">
      <alignment horizontal="center" vertical="center" wrapText="1"/>
    </xf>
    <xf numFmtId="44" fontId="0" fillId="13" borderId="12" xfId="0" applyNumberFormat="1" applyFill="1" applyBorder="1" applyAlignment="1">
      <alignment horizontal="right" vertical="center" wrapText="1"/>
    </xf>
    <xf numFmtId="44" fontId="0" fillId="13" borderId="15" xfId="0" applyNumberFormat="1" applyFill="1" applyBorder="1" applyAlignment="1">
      <alignment horizontal="center" vertical="center" wrapText="1"/>
    </xf>
    <xf numFmtId="44" fontId="0" fillId="13" borderId="25" xfId="0" applyNumberFormat="1" applyFill="1" applyBorder="1" applyAlignment="1">
      <alignment horizontal="right" vertical="center" wrapText="1"/>
    </xf>
    <xf numFmtId="44" fontId="0" fillId="13" borderId="26" xfId="0" applyNumberFormat="1" applyFill="1" applyBorder="1" applyAlignment="1">
      <alignment horizontal="center" vertical="center" wrapText="1"/>
    </xf>
    <xf numFmtId="44" fontId="0" fillId="13" borderId="15" xfId="0" applyNumberFormat="1" applyFill="1" applyBorder="1" applyAlignment="1">
      <alignment horizontal="right" vertical="center" wrapText="1"/>
    </xf>
    <xf numFmtId="44" fontId="0" fillId="13" borderId="18" xfId="0" applyNumberFormat="1" applyFill="1" applyBorder="1" applyAlignment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25" xfId="0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4" fontId="3" fillId="3" borderId="3" xfId="0" applyNumberFormat="1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164" fontId="0" fillId="12" borderId="12" xfId="0" applyNumberFormat="1" applyFill="1" applyBorder="1" applyAlignment="1">
      <alignment horizontal="right" vertical="center" wrapText="1"/>
    </xf>
    <xf numFmtId="44" fontId="0" fillId="12" borderId="15" xfId="0" applyNumberForma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2" borderId="65" xfId="0" applyFill="1" applyBorder="1" applyProtection="1">
      <protection locked="0"/>
    </xf>
    <xf numFmtId="0" fontId="3" fillId="0" borderId="10" xfId="0" applyFont="1" applyBorder="1" applyAlignment="1" applyProtection="1">
      <alignment vertical="center" wrapText="1"/>
      <protection locked="0"/>
    </xf>
    <xf numFmtId="0" fontId="3" fillId="0" borderId="49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0" fontId="0" fillId="2" borderId="47" xfId="0" applyFill="1" applyBorder="1" applyProtection="1">
      <protection locked="0"/>
    </xf>
    <xf numFmtId="0" fontId="0" fillId="10" borderId="0" xfId="0" applyFill="1" applyProtection="1">
      <protection locked="0"/>
    </xf>
    <xf numFmtId="0" fontId="3" fillId="3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2" xfId="0" applyFont="1" applyBorder="1" applyAlignment="1" applyProtection="1">
      <alignment horizontal="center" vertical="center"/>
      <protection locked="0"/>
    </xf>
    <xf numFmtId="20" fontId="4" fillId="0" borderId="40" xfId="0" applyNumberFormat="1" applyFont="1" applyBorder="1" applyAlignment="1" applyProtection="1">
      <alignment horizontal="center" vertical="center" wrapText="1"/>
      <protection locked="0"/>
    </xf>
    <xf numFmtId="8" fontId="11" fillId="14" borderId="57" xfId="0" applyNumberFormat="1" applyFont="1" applyFill="1" applyBorder="1" applyAlignment="1">
      <alignment horizontal="center" vertical="center" wrapText="1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164" fontId="12" fillId="0" borderId="12" xfId="0" applyNumberFormat="1" applyFont="1" applyBorder="1" applyAlignment="1" applyProtection="1">
      <alignment horizontal="right" vertical="center" wrapText="1"/>
      <protection locked="0"/>
    </xf>
    <xf numFmtId="44" fontId="12" fillId="0" borderId="15" xfId="0" applyNumberFormat="1" applyFont="1" applyBorder="1" applyAlignment="1" applyProtection="1">
      <alignment horizontal="center" vertical="center" wrapText="1"/>
      <protection locked="0"/>
    </xf>
    <xf numFmtId="22" fontId="4" fillId="0" borderId="12" xfId="0" applyNumberFormat="1" applyFont="1" applyBorder="1" applyAlignment="1" applyProtection="1">
      <alignment horizontal="center" vertical="center" wrapText="1"/>
      <protection locked="0"/>
    </xf>
    <xf numFmtId="0" fontId="0" fillId="15" borderId="65" xfId="0" applyFill="1" applyBorder="1" applyProtection="1"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44" fontId="0" fillId="0" borderId="0" xfId="0" applyNumberFormat="1" applyProtection="1">
      <protection locked="0"/>
    </xf>
    <xf numFmtId="0" fontId="4" fillId="0" borderId="12" xfId="0" quotePrefix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164" fontId="7" fillId="11" borderId="56" xfId="0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 applyProtection="1">
      <alignment horizontal="right" vertical="center" wrapText="1"/>
      <protection locked="0"/>
    </xf>
    <xf numFmtId="44" fontId="14" fillId="0" borderId="0" xfId="0" applyNumberFormat="1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right" vertical="center" wrapText="1"/>
      <protection locked="0"/>
    </xf>
    <xf numFmtId="44" fontId="6" fillId="0" borderId="0" xfId="0" applyNumberFormat="1" applyFont="1" applyAlignment="1" applyProtection="1">
      <alignment horizontal="center" vertical="center" wrapText="1"/>
      <protection locked="0"/>
    </xf>
    <xf numFmtId="8" fontId="6" fillId="5" borderId="55" xfId="1" applyNumberFormat="1" applyFont="1" applyFill="1" applyBorder="1" applyAlignment="1" applyProtection="1">
      <alignment horizontal="center" vertical="center" wrapText="1"/>
      <protection locked="0"/>
    </xf>
    <xf numFmtId="8" fontId="6" fillId="5" borderId="70" xfId="1" applyNumberFormat="1" applyFont="1" applyFill="1" applyBorder="1" applyAlignment="1" applyProtection="1">
      <alignment horizontal="center" vertical="center" wrapText="1"/>
      <protection locked="0"/>
    </xf>
    <xf numFmtId="164" fontId="7" fillId="11" borderId="4" xfId="0" applyNumberFormat="1" applyFont="1" applyFill="1" applyBorder="1" applyAlignment="1">
      <alignment horizontal="center" vertical="center" wrapText="1"/>
    </xf>
    <xf numFmtId="164" fontId="7" fillId="11" borderId="71" xfId="0" applyNumberFormat="1" applyFont="1" applyFill="1" applyBorder="1" applyAlignment="1">
      <alignment horizontal="center" vertical="center" wrapText="1"/>
    </xf>
    <xf numFmtId="8" fontId="7" fillId="11" borderId="40" xfId="0" applyNumberFormat="1" applyFont="1" applyFill="1" applyBorder="1" applyAlignment="1">
      <alignment horizontal="center" vertical="center" wrapText="1"/>
    </xf>
    <xf numFmtId="8" fontId="11" fillId="14" borderId="14" xfId="0" applyNumberFormat="1" applyFont="1" applyFill="1" applyBorder="1" applyAlignment="1">
      <alignment horizontal="center" vertical="center" wrapText="1"/>
    </xf>
    <xf numFmtId="0" fontId="6" fillId="5" borderId="0" xfId="0" applyFont="1" applyFill="1" applyProtection="1">
      <protection locked="0"/>
    </xf>
    <xf numFmtId="164" fontId="17" fillId="5" borderId="11" xfId="0" applyNumberFormat="1" applyFont="1" applyFill="1" applyBorder="1" applyAlignment="1">
      <alignment horizontal="center" vertical="center"/>
    </xf>
    <xf numFmtId="3" fontId="17" fillId="5" borderId="12" xfId="0" applyNumberFormat="1" applyFont="1" applyFill="1" applyBorder="1" applyAlignment="1" applyProtection="1">
      <alignment horizontal="center" vertical="center" wrapText="1"/>
      <protection locked="0"/>
    </xf>
    <xf numFmtId="164" fontId="17" fillId="5" borderId="15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164" fontId="6" fillId="0" borderId="29" xfId="0" applyNumberFormat="1" applyFont="1" applyBorder="1" applyAlignment="1" applyProtection="1">
      <alignment horizontal="right" vertical="center" wrapText="1"/>
      <protection locked="0"/>
    </xf>
    <xf numFmtId="0" fontId="17" fillId="5" borderId="39" xfId="0" applyFont="1" applyFill="1" applyBorder="1" applyAlignment="1" applyProtection="1">
      <alignment horizontal="center" vertical="center" wrapText="1"/>
      <protection locked="0"/>
    </xf>
    <xf numFmtId="8" fontId="17" fillId="5" borderId="55" xfId="1" applyNumberFormat="1" applyFont="1" applyFill="1" applyBorder="1" applyAlignment="1" applyProtection="1">
      <alignment horizontal="center" vertical="center" wrapText="1"/>
      <protection locked="0"/>
    </xf>
    <xf numFmtId="9" fontId="0" fillId="5" borderId="2" xfId="0" applyNumberFormat="1" applyFill="1" applyBorder="1" applyAlignment="1" applyProtection="1">
      <alignment horizontal="center" vertical="center" wrapText="1"/>
      <protection locked="0"/>
    </xf>
    <xf numFmtId="9" fontId="0" fillId="5" borderId="50" xfId="0" applyNumberForma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165" fontId="4" fillId="0" borderId="12" xfId="0" applyNumberFormat="1" applyFont="1" applyBorder="1" applyAlignment="1" applyProtection="1">
      <alignment horizontal="center" vertical="center" wrapText="1"/>
      <protection locked="0"/>
    </xf>
    <xf numFmtId="165" fontId="4" fillId="0" borderId="12" xfId="0" applyNumberFormat="1" applyFont="1" applyBorder="1" applyAlignment="1" applyProtection="1">
      <alignment horizontal="center" vertical="center"/>
      <protection locked="0"/>
    </xf>
    <xf numFmtId="0" fontId="3" fillId="3" borderId="64" xfId="0" applyFont="1" applyFill="1" applyBorder="1" applyAlignment="1">
      <alignment horizontal="center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164" fontId="7" fillId="0" borderId="12" xfId="1" applyNumberFormat="1" applyFont="1" applyFill="1" applyBorder="1" applyAlignment="1" applyProtection="1">
      <alignment horizontal="right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64" fontId="15" fillId="0" borderId="12" xfId="1" applyNumberFormat="1" applyFont="1" applyFill="1" applyBorder="1" applyAlignment="1" applyProtection="1">
      <alignment horizontal="right" vertical="center" wrapText="1"/>
      <protection locked="0"/>
    </xf>
    <xf numFmtId="0" fontId="0" fillId="12" borderId="15" xfId="0" applyFill="1" applyBorder="1" applyAlignment="1">
      <alignment horizontal="center" vertical="center" wrapText="1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0" fillId="0" borderId="72" xfId="0" applyBorder="1" applyAlignment="1">
      <alignment horizontal="center" vertical="center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164" fontId="14" fillId="0" borderId="12" xfId="0" applyNumberFormat="1" applyFont="1" applyBorder="1" applyAlignment="1" applyProtection="1">
      <alignment horizontal="right" vertical="center" wrapText="1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164" fontId="7" fillId="0" borderId="12" xfId="0" applyNumberFormat="1" applyFont="1" applyBorder="1" applyAlignment="1" applyProtection="1">
      <alignment horizontal="right" vertical="center" wrapText="1"/>
      <protection locked="0"/>
    </xf>
    <xf numFmtId="164" fontId="7" fillId="0" borderId="0" xfId="0" applyNumberFormat="1" applyFont="1" applyProtection="1"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44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13" borderId="10" xfId="0" applyFont="1" applyFill="1" applyBorder="1" applyAlignment="1">
      <alignment horizontal="center" vertical="center" wrapText="1"/>
    </xf>
    <xf numFmtId="0" fontId="9" fillId="13" borderId="49" xfId="0" applyFont="1" applyFill="1" applyBorder="1" applyAlignment="1">
      <alignment horizontal="center" vertical="center" wrapText="1"/>
    </xf>
    <xf numFmtId="0" fontId="9" fillId="13" borderId="50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65" fontId="4" fillId="16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3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4" fontId="3" fillId="3" borderId="7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/>
    </xf>
    <xf numFmtId="6" fontId="4" fillId="0" borderId="12" xfId="0" applyNumberFormat="1" applyFont="1" applyBorder="1" applyAlignment="1" applyProtection="1">
      <alignment horizontal="center" vertical="center" wrapText="1"/>
      <protection locked="0"/>
    </xf>
    <xf numFmtId="165" fontId="4" fillId="0" borderId="46" xfId="0" applyNumberFormat="1" applyFont="1" applyBorder="1" applyAlignment="1" applyProtection="1">
      <alignment horizontal="center" vertical="center" wrapText="1"/>
      <protection locked="0"/>
    </xf>
    <xf numFmtId="0" fontId="21" fillId="0" borderId="12" xfId="0" applyFont="1" applyBorder="1" applyAlignment="1">
      <alignment horizontal="center" vertical="center"/>
    </xf>
    <xf numFmtId="0" fontId="22" fillId="17" borderId="11" xfId="0" applyFont="1" applyFill="1" applyBorder="1" applyAlignment="1" applyProtection="1">
      <alignment horizontal="center" vertical="center" wrapText="1"/>
      <protection locked="0"/>
    </xf>
    <xf numFmtId="0" fontId="22" fillId="17" borderId="12" xfId="0" applyFont="1" applyFill="1" applyBorder="1" applyAlignment="1" applyProtection="1">
      <alignment horizontal="center" vertical="center" wrapText="1"/>
      <protection locked="0"/>
    </xf>
    <xf numFmtId="0" fontId="23" fillId="17" borderId="12" xfId="0" applyFont="1" applyFill="1" applyBorder="1" applyAlignment="1" applyProtection="1">
      <alignment horizontal="center" vertical="center" wrapText="1"/>
      <protection locked="0"/>
    </xf>
    <xf numFmtId="165" fontId="22" fillId="17" borderId="12" xfId="0" applyNumberFormat="1" applyFont="1" applyFill="1" applyBorder="1" applyAlignment="1" applyProtection="1">
      <alignment horizontal="center" vertical="center" wrapText="1"/>
      <protection locked="0"/>
    </xf>
    <xf numFmtId="20" fontId="22" fillId="17" borderId="12" xfId="0" applyNumberFormat="1" applyFont="1" applyFill="1" applyBorder="1" applyAlignment="1" applyProtection="1">
      <alignment horizontal="center" vertical="center" wrapText="1"/>
      <protection locked="0"/>
    </xf>
    <xf numFmtId="44" fontId="22" fillId="17" borderId="12" xfId="0" applyNumberFormat="1" applyFont="1" applyFill="1" applyBorder="1" applyAlignment="1" applyProtection="1">
      <alignment horizontal="center" vertical="center" wrapText="1"/>
      <protection locked="0"/>
    </xf>
    <xf numFmtId="0" fontId="22" fillId="17" borderId="14" xfId="0" applyFont="1" applyFill="1" applyBorder="1" applyAlignment="1" applyProtection="1">
      <alignment horizontal="center" vertical="center" wrapText="1"/>
      <protection locked="0"/>
    </xf>
    <xf numFmtId="44" fontId="22" fillId="17" borderId="34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11" xfId="0" applyFont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44" fontId="24" fillId="0" borderId="12" xfId="0" applyNumberFormat="1" applyFont="1" applyBorder="1" applyAlignment="1" applyProtection="1">
      <alignment horizontal="center" vertical="center" wrapText="1"/>
      <protection locked="0"/>
    </xf>
    <xf numFmtId="0" fontId="24" fillId="0" borderId="14" xfId="0" applyFont="1" applyBorder="1" applyAlignment="1" applyProtection="1">
      <alignment horizontal="center" vertical="center" wrapText="1"/>
      <protection locked="0"/>
    </xf>
    <xf numFmtId="0" fontId="24" fillId="0" borderId="15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164" fontId="6" fillId="0" borderId="25" xfId="1" applyNumberFormat="1" applyFont="1" applyFill="1" applyBorder="1" applyAlignment="1" applyProtection="1">
      <alignment horizontal="right" vertical="center" wrapText="1"/>
      <protection locked="0"/>
    </xf>
    <xf numFmtId="22" fontId="4" fillId="0" borderId="13" xfId="0" applyNumberFormat="1" applyFont="1" applyBorder="1" applyAlignment="1" applyProtection="1">
      <alignment horizontal="center" vertical="center" wrapText="1"/>
      <protection locked="0"/>
    </xf>
    <xf numFmtId="0" fontId="25" fillId="0" borderId="11" xfId="0" applyFont="1" applyBorder="1" applyAlignment="1" applyProtection="1">
      <alignment horizontal="center" vertical="center" wrapText="1"/>
      <protection locked="0"/>
    </xf>
    <xf numFmtId="0" fontId="4" fillId="16" borderId="0" xfId="0" applyFont="1" applyFill="1" applyAlignment="1" applyProtection="1">
      <alignment horizontal="center" vertical="center" wrapText="1"/>
      <protection locked="0"/>
    </xf>
    <xf numFmtId="0" fontId="4" fillId="18" borderId="11" xfId="0" applyFont="1" applyFill="1" applyBorder="1" applyAlignment="1" applyProtection="1">
      <alignment horizontal="center" vertical="center" wrapText="1"/>
      <protection locked="0"/>
    </xf>
    <xf numFmtId="0" fontId="4" fillId="18" borderId="12" xfId="0" applyFont="1" applyFill="1" applyBorder="1" applyAlignment="1" applyProtection="1">
      <alignment horizontal="center" vertical="center" wrapText="1"/>
      <protection locked="0"/>
    </xf>
    <xf numFmtId="0" fontId="8" fillId="18" borderId="12" xfId="0" applyFont="1" applyFill="1" applyBorder="1" applyAlignment="1" applyProtection="1">
      <alignment horizontal="center" vertical="center" wrapText="1"/>
      <protection locked="0"/>
    </xf>
    <xf numFmtId="0" fontId="4" fillId="18" borderId="13" xfId="0" applyFont="1" applyFill="1" applyBorder="1" applyAlignment="1" applyProtection="1">
      <alignment horizontal="center" vertical="center" wrapText="1"/>
      <protection locked="0"/>
    </xf>
    <xf numFmtId="44" fontId="4" fillId="18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18" borderId="15" xfId="0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21" fillId="0" borderId="12" xfId="0" applyFont="1" applyBorder="1" applyAlignment="1">
      <alignment horizontal="center"/>
    </xf>
    <xf numFmtId="3" fontId="6" fillId="5" borderId="12" xfId="0" quotePrefix="1" applyNumberFormat="1" applyFont="1" applyFill="1" applyBorder="1" applyAlignment="1" applyProtection="1">
      <alignment horizontal="center" vertical="center" wrapText="1"/>
      <protection locked="0"/>
    </xf>
    <xf numFmtId="2" fontId="7" fillId="11" borderId="28" xfId="0" applyNumberFormat="1" applyFont="1" applyFill="1" applyBorder="1" applyAlignment="1">
      <alignment horizontal="right" vertical="center" wrapText="1"/>
    </xf>
    <xf numFmtId="2" fontId="7" fillId="11" borderId="29" xfId="0" applyNumberFormat="1" applyFont="1" applyFill="1" applyBorder="1" applyAlignment="1">
      <alignment horizontal="right" vertical="center" wrapText="1"/>
    </xf>
    <xf numFmtId="0" fontId="3" fillId="2" borderId="44" xfId="0" applyFont="1" applyFill="1" applyBorder="1" applyAlignment="1">
      <alignment horizontal="right"/>
    </xf>
    <xf numFmtId="0" fontId="3" fillId="2" borderId="45" xfId="0" applyFont="1" applyFill="1" applyBorder="1" applyAlignment="1">
      <alignment horizontal="right"/>
    </xf>
    <xf numFmtId="0" fontId="9" fillId="13" borderId="10" xfId="0" applyFont="1" applyFill="1" applyBorder="1" applyAlignment="1">
      <alignment horizontal="center" vertical="center" wrapText="1"/>
    </xf>
    <xf numFmtId="0" fontId="9" fillId="13" borderId="49" xfId="0" applyFont="1" applyFill="1" applyBorder="1" applyAlignment="1">
      <alignment horizontal="center" vertical="center" wrapText="1"/>
    </xf>
    <xf numFmtId="0" fontId="9" fillId="13" borderId="5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2" fontId="7" fillId="11" borderId="1" xfId="0" applyNumberFormat="1" applyFont="1" applyFill="1" applyBorder="1" applyAlignment="1">
      <alignment horizontal="right" vertical="center" wrapText="1"/>
    </xf>
    <xf numFmtId="2" fontId="7" fillId="11" borderId="3" xfId="0" applyNumberFormat="1" applyFont="1" applyFill="1" applyBorder="1" applyAlignment="1">
      <alignment horizontal="right" vertical="center" wrapText="1"/>
    </xf>
    <xf numFmtId="164" fontId="7" fillId="3" borderId="32" xfId="0" applyNumberFormat="1" applyFont="1" applyFill="1" applyBorder="1" applyAlignment="1">
      <alignment horizontal="center" vertical="center" wrapText="1"/>
    </xf>
    <xf numFmtId="164" fontId="7" fillId="3" borderId="7" xfId="0" applyNumberFormat="1" applyFont="1" applyFill="1" applyBorder="1" applyAlignment="1">
      <alignment horizontal="center" vertical="center" wrapText="1"/>
    </xf>
    <xf numFmtId="164" fontId="7" fillId="3" borderId="9" xfId="0" applyNumberFormat="1" applyFont="1" applyFill="1" applyBorder="1" applyAlignment="1">
      <alignment horizontal="center" vertical="center" wrapText="1"/>
    </xf>
    <xf numFmtId="0" fontId="13" fillId="10" borderId="63" xfId="0" applyFont="1" applyFill="1" applyBorder="1" applyAlignment="1" applyProtection="1">
      <alignment horizontal="center" vertical="center"/>
      <protection locked="0"/>
    </xf>
    <xf numFmtId="0" fontId="13" fillId="10" borderId="0" xfId="0" applyFont="1" applyFill="1" applyAlignment="1" applyProtection="1">
      <alignment horizontal="center" vertical="center"/>
      <protection locked="0"/>
    </xf>
    <xf numFmtId="8" fontId="10" fillId="9" borderId="60" xfId="0" applyNumberFormat="1" applyFont="1" applyFill="1" applyBorder="1" applyAlignment="1">
      <alignment horizontal="center" vertical="center" wrapText="1"/>
    </xf>
    <xf numFmtId="8" fontId="10" fillId="9" borderId="61" xfId="0" applyNumberFormat="1" applyFont="1" applyFill="1" applyBorder="1" applyAlignment="1">
      <alignment horizontal="center" vertical="center" wrapText="1"/>
    </xf>
    <xf numFmtId="8" fontId="10" fillId="9" borderId="44" xfId="0" applyNumberFormat="1" applyFont="1" applyFill="1" applyBorder="1" applyAlignment="1">
      <alignment horizontal="center" vertical="center" wrapText="1"/>
    </xf>
    <xf numFmtId="8" fontId="10" fillId="9" borderId="51" xfId="0" applyNumberFormat="1" applyFont="1" applyFill="1" applyBorder="1" applyAlignment="1">
      <alignment horizontal="center" vertical="center" wrapText="1"/>
    </xf>
    <xf numFmtId="2" fontId="7" fillId="7" borderId="42" xfId="0" applyNumberFormat="1" applyFont="1" applyFill="1" applyBorder="1" applyAlignment="1">
      <alignment horizontal="right" vertical="center" wrapText="1"/>
    </xf>
    <xf numFmtId="2" fontId="7" fillId="7" borderId="43" xfId="0" applyNumberFormat="1" applyFont="1" applyFill="1" applyBorder="1" applyAlignment="1">
      <alignment horizontal="right" vertical="center" wrapText="1"/>
    </xf>
    <xf numFmtId="2" fontId="7" fillId="8" borderId="28" xfId="0" applyNumberFormat="1" applyFont="1" applyFill="1" applyBorder="1" applyAlignment="1">
      <alignment horizontal="center" vertical="center" wrapText="1"/>
    </xf>
    <xf numFmtId="2" fontId="7" fillId="8" borderId="29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9" fillId="13" borderId="44" xfId="0" applyFont="1" applyFill="1" applyBorder="1" applyAlignment="1">
      <alignment horizontal="center" vertical="center" wrapText="1"/>
    </xf>
    <xf numFmtId="0" fontId="9" fillId="13" borderId="48" xfId="0" applyFont="1" applyFill="1" applyBorder="1" applyAlignment="1">
      <alignment horizontal="center" vertical="center" wrapText="1"/>
    </xf>
    <xf numFmtId="0" fontId="9" fillId="13" borderId="5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9" borderId="54" xfId="0" applyFont="1" applyFill="1" applyBorder="1" applyAlignment="1">
      <alignment horizontal="center" vertical="center" wrapText="1"/>
    </xf>
    <xf numFmtId="0" fontId="3" fillId="9" borderId="58" xfId="0" applyFont="1" applyFill="1" applyBorder="1" applyAlignment="1">
      <alignment horizontal="center" vertical="center" wrapText="1"/>
    </xf>
    <xf numFmtId="0" fontId="3" fillId="9" borderId="59" xfId="0" applyFont="1" applyFill="1" applyBorder="1" applyAlignment="1">
      <alignment horizontal="center" vertical="center" wrapText="1"/>
    </xf>
    <xf numFmtId="2" fontId="7" fillId="7" borderId="33" xfId="0" applyNumberFormat="1" applyFont="1" applyFill="1" applyBorder="1" applyAlignment="1">
      <alignment horizontal="right" vertical="center" wrapText="1"/>
    </xf>
    <xf numFmtId="2" fontId="7" fillId="7" borderId="34" xfId="0" applyNumberFormat="1" applyFont="1" applyFill="1" applyBorder="1" applyAlignment="1">
      <alignment horizontal="right" vertical="center" wrapText="1"/>
    </xf>
    <xf numFmtId="2" fontId="7" fillId="8" borderId="24" xfId="0" applyNumberFormat="1" applyFont="1" applyFill="1" applyBorder="1" applyAlignment="1">
      <alignment horizontal="center" vertical="center" wrapText="1"/>
    </xf>
    <xf numFmtId="2" fontId="7" fillId="8" borderId="25" xfId="0" applyNumberFormat="1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  <xf numFmtId="164" fontId="7" fillId="9" borderId="54" xfId="0" applyNumberFormat="1" applyFont="1" applyFill="1" applyBorder="1" applyAlignment="1">
      <alignment horizontal="center" vertical="center" wrapText="1"/>
    </xf>
    <xf numFmtId="164" fontId="7" fillId="9" borderId="58" xfId="0" applyNumberFormat="1" applyFont="1" applyFill="1" applyBorder="1" applyAlignment="1">
      <alignment horizontal="center" vertical="center" wrapText="1"/>
    </xf>
    <xf numFmtId="164" fontId="7" fillId="9" borderId="59" xfId="0" applyNumberFormat="1" applyFont="1" applyFill="1" applyBorder="1" applyAlignment="1">
      <alignment horizontal="center" vertical="center" wrapText="1"/>
    </xf>
    <xf numFmtId="164" fontId="2" fillId="13" borderId="10" xfId="0" applyNumberFormat="1" applyFont="1" applyFill="1" applyBorder="1" applyAlignment="1">
      <alignment horizontal="center" vertical="center" wrapText="1"/>
    </xf>
    <xf numFmtId="164" fontId="2" fillId="13" borderId="50" xfId="0" applyNumberFormat="1" applyFont="1" applyFill="1" applyBorder="1" applyAlignment="1">
      <alignment horizontal="center" vertical="center" wrapText="1"/>
    </xf>
    <xf numFmtId="0" fontId="18" fillId="0" borderId="0" xfId="0" applyFont="1" applyAlignment="1" applyProtection="1">
      <alignment horizontal="center" vertical="center"/>
      <protection locked="0"/>
    </xf>
    <xf numFmtId="164" fontId="2" fillId="13" borderId="49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84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F933-F6BA-47F9-AB3E-DEC1A6242537}">
  <sheetPr>
    <pageSetUpPr fitToPage="1"/>
  </sheetPr>
  <dimension ref="A1:BC613"/>
  <sheetViews>
    <sheetView zoomScale="80" zoomScaleNormal="80" workbookViewId="0">
      <pane ySplit="1" topLeftCell="A20" activePane="bottomLeft" state="frozen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5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1</v>
      </c>
      <c r="B2" s="2">
        <v>214</v>
      </c>
      <c r="C2" s="133" t="s">
        <v>13</v>
      </c>
      <c r="D2" s="2">
        <v>2805</v>
      </c>
      <c r="E2" s="16" t="s">
        <v>75</v>
      </c>
      <c r="F2" s="2" t="s">
        <v>76</v>
      </c>
      <c r="G2" s="2">
        <v>1</v>
      </c>
      <c r="H2" s="3">
        <v>25</v>
      </c>
      <c r="I2" s="3">
        <v>8</v>
      </c>
      <c r="J2" s="3" t="s">
        <v>14</v>
      </c>
      <c r="K2" s="4" t="s">
        <v>15</v>
      </c>
      <c r="L2" s="5" t="s">
        <v>15</v>
      </c>
      <c r="M2" s="144"/>
      <c r="N2" s="61" t="s">
        <v>17</v>
      </c>
      <c r="O2" s="62">
        <f>SUMIFS(H2:H197,C2:C197,N2,L2:L197,"Sim")</f>
        <v>1108</v>
      </c>
      <c r="P2" s="62">
        <f>O2*0.3</f>
        <v>332.4</v>
      </c>
      <c r="Q2" s="62">
        <f>SUMIFS(I2:I197,C2:C197,N2,K2:K197,"Sim")</f>
        <v>332.4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>
        <v>1</v>
      </c>
      <c r="B3" s="2">
        <v>601</v>
      </c>
      <c r="C3" s="133" t="s">
        <v>13</v>
      </c>
      <c r="D3" s="2">
        <v>2804</v>
      </c>
      <c r="E3" s="16" t="s">
        <v>77</v>
      </c>
      <c r="F3" s="2" t="s">
        <v>78</v>
      </c>
      <c r="G3" s="2">
        <v>2</v>
      </c>
      <c r="H3" s="3">
        <v>25</v>
      </c>
      <c r="I3" s="3">
        <v>8</v>
      </c>
      <c r="J3" s="3" t="s">
        <v>14</v>
      </c>
      <c r="K3" s="4" t="s">
        <v>15</v>
      </c>
      <c r="L3" s="5" t="s">
        <v>16</v>
      </c>
      <c r="M3" s="144"/>
      <c r="N3" s="67" t="s">
        <v>13</v>
      </c>
      <c r="O3" s="68">
        <f>SUMIFS(H2:H197,C2:C197,N3,L2:L197,"Não")</f>
        <v>3965</v>
      </c>
      <c r="P3" s="68">
        <f>SUMIFS(I2:I197,C2:C197,N3,L2:L197,"Não")</f>
        <v>1180</v>
      </c>
      <c r="Q3" s="68">
        <f>SUMIFS(I2:I197,C2:C197,N3,K2:K197,"Sim")</f>
        <v>1196</v>
      </c>
      <c r="R3" s="69">
        <f>SUMIFS(H2:H197,C2:C197,N3,K2:K197,"Sim")-Q3-Q5</f>
        <v>2819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>
        <v>1</v>
      </c>
      <c r="B4" s="2" t="s">
        <v>82</v>
      </c>
      <c r="C4" s="133" t="s">
        <v>13</v>
      </c>
      <c r="D4" s="2">
        <v>2808</v>
      </c>
      <c r="E4" s="16" t="s">
        <v>83</v>
      </c>
      <c r="F4" s="2" t="s">
        <v>84</v>
      </c>
      <c r="G4" s="2">
        <v>2</v>
      </c>
      <c r="H4" s="3">
        <v>35</v>
      </c>
      <c r="I4" s="3">
        <v>10</v>
      </c>
      <c r="J4" s="3" t="s">
        <v>19</v>
      </c>
      <c r="K4" s="4" t="s">
        <v>15</v>
      </c>
      <c r="L4" s="5" t="s">
        <v>16</v>
      </c>
      <c r="M4" s="144"/>
      <c r="N4" s="67" t="s">
        <v>22</v>
      </c>
      <c r="O4" s="68">
        <f>SUMIFS(H2:H197,C2:C197,N4,L2:L197,"Não")</f>
        <v>0</v>
      </c>
      <c r="P4" s="68">
        <f>O4*0.25</f>
        <v>0</v>
      </c>
      <c r="Q4" s="68">
        <f>SUMIFS(I2:I196,C2:C196,N4,K2:K196,"Sim")</f>
        <v>103.5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>
        <v>1</v>
      </c>
      <c r="B5" s="2" t="s">
        <v>79</v>
      </c>
      <c r="C5" s="133" t="s">
        <v>13</v>
      </c>
      <c r="D5" s="2">
        <v>2623</v>
      </c>
      <c r="E5" s="16" t="s">
        <v>80</v>
      </c>
      <c r="F5" s="2" t="s">
        <v>81</v>
      </c>
      <c r="G5" s="2">
        <v>2</v>
      </c>
      <c r="H5" s="3">
        <v>35</v>
      </c>
      <c r="I5" s="3">
        <v>10</v>
      </c>
      <c r="J5" s="3" t="s">
        <v>19</v>
      </c>
      <c r="K5" s="4" t="s">
        <v>15</v>
      </c>
      <c r="L5" s="5" t="s">
        <v>16</v>
      </c>
      <c r="M5" s="144"/>
      <c r="N5" s="67" t="s">
        <v>20</v>
      </c>
      <c r="O5" s="68">
        <f>SUMIFS(H2:H197,C2:C197,N5,L2:L197,"Não")</f>
        <v>0</v>
      </c>
      <c r="P5" s="68">
        <f>SUMIFS(I2:I197,C2:C197,N5,L2:L197,"Não")</f>
        <v>0</v>
      </c>
      <c r="Q5" s="68">
        <f>SUMIFS(I2:I197,C2:C197,N5,K2:K197,"Sim")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>
        <v>2</v>
      </c>
      <c r="B6" s="2" t="s">
        <v>88</v>
      </c>
      <c r="C6" s="133" t="s">
        <v>13</v>
      </c>
      <c r="D6" s="2">
        <v>2811</v>
      </c>
      <c r="E6" s="16" t="s">
        <v>89</v>
      </c>
      <c r="F6" s="2" t="s">
        <v>90</v>
      </c>
      <c r="G6" s="2">
        <v>2</v>
      </c>
      <c r="H6" s="3">
        <v>35</v>
      </c>
      <c r="I6" s="3">
        <v>10</v>
      </c>
      <c r="J6" s="3" t="s">
        <v>14</v>
      </c>
      <c r="K6" s="4" t="s">
        <v>15</v>
      </c>
      <c r="L6" s="5" t="s">
        <v>16</v>
      </c>
      <c r="M6" s="144"/>
      <c r="N6" s="67" t="s">
        <v>23</v>
      </c>
      <c r="O6" s="68">
        <f>SUMIFS(H2:H197,C2:C197,N6,L2:L197,"Não")</f>
        <v>683</v>
      </c>
      <c r="P6" s="68">
        <f>O6*0.15</f>
        <v>102.45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>
        <v>2</v>
      </c>
      <c r="B7" s="2" t="s">
        <v>85</v>
      </c>
      <c r="C7" s="133" t="s">
        <v>13</v>
      </c>
      <c r="D7" s="2">
        <v>2806</v>
      </c>
      <c r="E7" s="16" t="s">
        <v>86</v>
      </c>
      <c r="F7" s="2" t="s">
        <v>87</v>
      </c>
      <c r="G7" s="2">
        <v>4</v>
      </c>
      <c r="H7" s="3">
        <v>45</v>
      </c>
      <c r="I7" s="3">
        <v>10</v>
      </c>
      <c r="J7" s="3" t="s">
        <v>14</v>
      </c>
      <c r="K7" s="4" t="s">
        <v>15</v>
      </c>
      <c r="L7" s="5" t="s">
        <v>16</v>
      </c>
      <c r="M7" s="144"/>
      <c r="N7" s="73" t="s">
        <v>24</v>
      </c>
      <c r="O7" s="74">
        <f>SUMIFS(H2:H197,C2:C197,N7,L2:L197,"Não")</f>
        <v>0</v>
      </c>
      <c r="P7" s="74">
        <f>SUMIFS(I2:I197,C2:C197,N7,L2:L197,"Não")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>
        <v>3</v>
      </c>
      <c r="B8" s="2">
        <v>310</v>
      </c>
      <c r="C8" s="133" t="s">
        <v>22</v>
      </c>
      <c r="D8" s="151">
        <v>173108</v>
      </c>
      <c r="E8" s="16" t="s">
        <v>34</v>
      </c>
      <c r="F8" s="2" t="s">
        <v>100</v>
      </c>
      <c r="G8" s="2">
        <v>2</v>
      </c>
      <c r="H8" s="3">
        <v>66</v>
      </c>
      <c r="I8" s="3">
        <v>16.5</v>
      </c>
      <c r="J8" s="3" t="s">
        <v>98</v>
      </c>
      <c r="K8" s="4" t="s">
        <v>15</v>
      </c>
      <c r="L8" s="5" t="s">
        <v>15</v>
      </c>
      <c r="M8" s="144"/>
      <c r="N8" s="77" t="s">
        <v>25</v>
      </c>
      <c r="O8" s="78">
        <f>SUM(O2:O3)</f>
        <v>5073</v>
      </c>
      <c r="P8" s="78">
        <f>SUM(P2:P3)</f>
        <v>1512.4</v>
      </c>
      <c r="Q8" s="79"/>
      <c r="R8" s="80">
        <f>R4</f>
        <v>0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>
        <v>3</v>
      </c>
      <c r="B9" s="17">
        <v>507</v>
      </c>
      <c r="C9" s="133" t="s">
        <v>17</v>
      </c>
      <c r="D9" s="2">
        <v>2593</v>
      </c>
      <c r="E9" s="16" t="s">
        <v>96</v>
      </c>
      <c r="F9" s="2" t="s">
        <v>97</v>
      </c>
      <c r="G9" s="2">
        <v>2</v>
      </c>
      <c r="H9" s="3">
        <v>138</v>
      </c>
      <c r="I9" s="3">
        <v>41.4</v>
      </c>
      <c r="J9" s="3" t="s">
        <v>98</v>
      </c>
      <c r="K9" s="4" t="s">
        <v>15</v>
      </c>
      <c r="L9" s="5" t="s">
        <v>15</v>
      </c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>
        <v>3</v>
      </c>
      <c r="B10" s="2" t="s">
        <v>79</v>
      </c>
      <c r="C10" s="133" t="s">
        <v>13</v>
      </c>
      <c r="D10" s="2">
        <v>2624</v>
      </c>
      <c r="E10" s="16" t="s">
        <v>91</v>
      </c>
      <c r="F10" s="2" t="s">
        <v>92</v>
      </c>
      <c r="G10" s="2">
        <v>2</v>
      </c>
      <c r="H10" s="3">
        <v>25</v>
      </c>
      <c r="I10" s="3">
        <v>8</v>
      </c>
      <c r="J10" s="3" t="s">
        <v>19</v>
      </c>
      <c r="K10" s="4" t="s">
        <v>15</v>
      </c>
      <c r="L10" s="5" t="s">
        <v>16</v>
      </c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>
        <v>3</v>
      </c>
      <c r="B11" s="2" t="s">
        <v>101</v>
      </c>
      <c r="C11" s="133" t="s">
        <v>13</v>
      </c>
      <c r="D11" s="2">
        <v>379</v>
      </c>
      <c r="E11" s="16" t="s">
        <v>102</v>
      </c>
      <c r="F11" s="2" t="s">
        <v>103</v>
      </c>
      <c r="G11" s="2">
        <v>2</v>
      </c>
      <c r="H11" s="3">
        <v>35</v>
      </c>
      <c r="I11" s="3">
        <v>10</v>
      </c>
      <c r="J11" s="3" t="s">
        <v>14</v>
      </c>
      <c r="K11" s="4" t="s">
        <v>15</v>
      </c>
      <c r="L11" s="5" t="s">
        <v>16</v>
      </c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>
        <v>3</v>
      </c>
      <c r="B12" s="2">
        <v>216</v>
      </c>
      <c r="C12" s="133" t="s">
        <v>13</v>
      </c>
      <c r="D12" s="2">
        <v>2815</v>
      </c>
      <c r="E12" s="16" t="s">
        <v>99</v>
      </c>
      <c r="F12" s="6" t="s">
        <v>76</v>
      </c>
      <c r="G12" s="2">
        <v>2</v>
      </c>
      <c r="H12" s="3">
        <v>25</v>
      </c>
      <c r="I12" s="3">
        <v>8</v>
      </c>
      <c r="J12" s="3" t="s">
        <v>98</v>
      </c>
      <c r="K12" s="4" t="s">
        <v>15</v>
      </c>
      <c r="L12" s="5" t="s">
        <v>16</v>
      </c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>
        <v>3</v>
      </c>
      <c r="B13" s="2" t="s">
        <v>93</v>
      </c>
      <c r="C13" s="133" t="s">
        <v>13</v>
      </c>
      <c r="D13" s="2">
        <v>2801</v>
      </c>
      <c r="E13" s="16" t="s">
        <v>94</v>
      </c>
      <c r="F13" s="2" t="s">
        <v>95</v>
      </c>
      <c r="G13" s="2">
        <v>3</v>
      </c>
      <c r="H13" s="3">
        <v>35</v>
      </c>
      <c r="I13" s="3">
        <v>10</v>
      </c>
      <c r="J13" s="3" t="s">
        <v>27</v>
      </c>
      <c r="K13" s="4" t="s">
        <v>15</v>
      </c>
      <c r="L13" s="5" t="s">
        <v>16</v>
      </c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>
        <v>4</v>
      </c>
      <c r="B14" s="2">
        <v>430</v>
      </c>
      <c r="C14" s="133" t="s">
        <v>17</v>
      </c>
      <c r="D14" s="2">
        <v>2594</v>
      </c>
      <c r="E14" s="16" t="s">
        <v>108</v>
      </c>
      <c r="F14" s="2" t="s">
        <v>97</v>
      </c>
      <c r="G14" s="2">
        <v>2</v>
      </c>
      <c r="H14" s="3">
        <v>138</v>
      </c>
      <c r="I14" s="3">
        <v>41.4</v>
      </c>
      <c r="J14" s="3" t="s">
        <v>98</v>
      </c>
      <c r="K14" s="4" t="s">
        <v>15</v>
      </c>
      <c r="L14" s="5" t="s">
        <v>15</v>
      </c>
      <c r="M14" s="144"/>
      <c r="N14" s="91">
        <v>100</v>
      </c>
      <c r="O14" s="7">
        <v>12</v>
      </c>
      <c r="P14" s="94">
        <f t="shared" si="0"/>
        <v>1200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>
        <v>4</v>
      </c>
      <c r="B15" s="17">
        <v>305</v>
      </c>
      <c r="C15" s="133" t="s">
        <v>13</v>
      </c>
      <c r="D15" s="2">
        <v>2814</v>
      </c>
      <c r="E15" s="18" t="s">
        <v>107</v>
      </c>
      <c r="F15" s="2" t="s">
        <v>76</v>
      </c>
      <c r="G15" s="2">
        <v>1</v>
      </c>
      <c r="H15" s="3">
        <v>25</v>
      </c>
      <c r="I15" s="3">
        <v>8</v>
      </c>
      <c r="J15" s="3" t="s">
        <v>98</v>
      </c>
      <c r="K15" s="4" t="s">
        <v>15</v>
      </c>
      <c r="L15" s="5" t="s">
        <v>16</v>
      </c>
      <c r="M15" s="144"/>
      <c r="N15" s="91">
        <v>50</v>
      </c>
      <c r="O15" s="7">
        <v>29</v>
      </c>
      <c r="P15" s="94">
        <f>N15*O15</f>
        <v>1450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>
        <v>4</v>
      </c>
      <c r="B16" s="2">
        <v>427</v>
      </c>
      <c r="C16" s="133" t="s">
        <v>13</v>
      </c>
      <c r="D16" s="2">
        <v>2819</v>
      </c>
      <c r="E16" s="16" t="s">
        <v>109</v>
      </c>
      <c r="F16" s="2" t="s">
        <v>76</v>
      </c>
      <c r="G16" s="2">
        <v>2</v>
      </c>
      <c r="H16" s="3">
        <v>25</v>
      </c>
      <c r="I16" s="3">
        <v>8</v>
      </c>
      <c r="J16" s="3" t="s">
        <v>26</v>
      </c>
      <c r="K16" s="4" t="s">
        <v>15</v>
      </c>
      <c r="L16" s="5" t="s">
        <v>16</v>
      </c>
      <c r="M16" s="144"/>
      <c r="N16" s="91">
        <v>20</v>
      </c>
      <c r="O16" s="7">
        <v>11</v>
      </c>
      <c r="P16" s="94">
        <f>N16*O16</f>
        <v>220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>
        <v>4</v>
      </c>
      <c r="B17" s="2">
        <v>219</v>
      </c>
      <c r="C17" s="133" t="s">
        <v>13</v>
      </c>
      <c r="D17" s="2">
        <v>2820</v>
      </c>
      <c r="E17" s="16" t="s">
        <v>110</v>
      </c>
      <c r="F17" s="2" t="s">
        <v>76</v>
      </c>
      <c r="G17" s="2">
        <v>2</v>
      </c>
      <c r="H17" s="3">
        <v>25</v>
      </c>
      <c r="I17" s="3">
        <v>8</v>
      </c>
      <c r="J17" s="3" t="s">
        <v>27</v>
      </c>
      <c r="K17" s="4" t="s">
        <v>15</v>
      </c>
      <c r="L17" s="5" t="s">
        <v>16</v>
      </c>
      <c r="M17" s="144"/>
      <c r="N17" s="91">
        <v>10</v>
      </c>
      <c r="O17" s="7">
        <v>0</v>
      </c>
      <c r="P17" s="94">
        <f t="shared" ref="P17:P18" si="2">N17*O17</f>
        <v>0</v>
      </c>
      <c r="Q17" s="91">
        <v>10</v>
      </c>
      <c r="R17" s="7">
        <v>6</v>
      </c>
      <c r="S17" s="103">
        <f>Q17*R17</f>
        <v>60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>
        <v>4</v>
      </c>
      <c r="B18" s="2" t="s">
        <v>104</v>
      </c>
      <c r="C18" s="133" t="s">
        <v>23</v>
      </c>
      <c r="D18" s="2">
        <v>172839</v>
      </c>
      <c r="E18" s="2" t="s">
        <v>105</v>
      </c>
      <c r="F18" s="2" t="s">
        <v>106</v>
      </c>
      <c r="G18" s="2">
        <v>2</v>
      </c>
      <c r="H18" s="3">
        <v>39</v>
      </c>
      <c r="I18" s="3" t="s">
        <v>34</v>
      </c>
      <c r="J18" s="3" t="s">
        <v>14</v>
      </c>
      <c r="K18" s="4" t="s">
        <v>15</v>
      </c>
      <c r="L18" s="5" t="s">
        <v>16</v>
      </c>
      <c r="M18" s="144"/>
      <c r="N18" s="91">
        <v>5</v>
      </c>
      <c r="O18" s="7">
        <v>0</v>
      </c>
      <c r="P18" s="94">
        <f t="shared" si="2"/>
        <v>0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>
        <v>5</v>
      </c>
      <c r="B19" s="19">
        <v>316</v>
      </c>
      <c r="C19" s="133" t="s">
        <v>13</v>
      </c>
      <c r="D19" s="2">
        <v>2822</v>
      </c>
      <c r="E19" s="18" t="s">
        <v>111</v>
      </c>
      <c r="F19" s="2" t="s">
        <v>76</v>
      </c>
      <c r="G19" s="2">
        <v>4</v>
      </c>
      <c r="H19" s="3">
        <v>40</v>
      </c>
      <c r="I19" s="3">
        <v>12</v>
      </c>
      <c r="J19" s="3" t="s">
        <v>19</v>
      </c>
      <c r="K19" s="4" t="s">
        <v>15</v>
      </c>
      <c r="L19" s="5" t="s">
        <v>16</v>
      </c>
      <c r="M19" s="144"/>
      <c r="N19" s="308"/>
      <c r="O19" s="309"/>
      <c r="P19" s="99">
        <f>SUM(P12:P18)</f>
        <v>3070</v>
      </c>
      <c r="Q19" s="310"/>
      <c r="R19" s="311"/>
      <c r="S19" s="107">
        <f>SUM(S12:S18)</f>
        <v>65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>
        <v>5</v>
      </c>
      <c r="B20" s="2" t="s">
        <v>112</v>
      </c>
      <c r="C20" s="133" t="s">
        <v>13</v>
      </c>
      <c r="D20" s="2">
        <v>2641</v>
      </c>
      <c r="E20" s="20" t="s">
        <v>113</v>
      </c>
      <c r="F20" s="2" t="s">
        <v>87</v>
      </c>
      <c r="G20" s="2">
        <v>2</v>
      </c>
      <c r="H20" s="3">
        <v>35</v>
      </c>
      <c r="I20" s="3">
        <v>10</v>
      </c>
      <c r="J20" s="3" t="s">
        <v>36</v>
      </c>
      <c r="K20" s="4" t="s">
        <v>15</v>
      </c>
      <c r="L20" s="5" t="s">
        <v>16</v>
      </c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>
        <v>5</v>
      </c>
      <c r="B21" s="2">
        <v>325</v>
      </c>
      <c r="C21" s="133" t="s">
        <v>17</v>
      </c>
      <c r="D21" s="2">
        <v>2597</v>
      </c>
      <c r="E21" s="16" t="s">
        <v>121</v>
      </c>
      <c r="F21" s="2" t="s">
        <v>122</v>
      </c>
      <c r="G21" s="2">
        <v>2</v>
      </c>
      <c r="H21" s="3">
        <v>140</v>
      </c>
      <c r="I21" s="3">
        <v>42</v>
      </c>
      <c r="J21" s="3" t="s">
        <v>19</v>
      </c>
      <c r="K21" s="4" t="s">
        <v>15</v>
      </c>
      <c r="L21" s="5" t="s">
        <v>15</v>
      </c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>
        <v>5</v>
      </c>
      <c r="B22" s="2" t="s">
        <v>114</v>
      </c>
      <c r="C22" s="133" t="s">
        <v>17</v>
      </c>
      <c r="D22" s="2">
        <v>2595</v>
      </c>
      <c r="E22" s="2" t="s">
        <v>96</v>
      </c>
      <c r="F22" s="2" t="s">
        <v>97</v>
      </c>
      <c r="G22" s="2">
        <v>2</v>
      </c>
      <c r="H22" s="3">
        <v>138</v>
      </c>
      <c r="I22" s="3">
        <v>41.4</v>
      </c>
      <c r="J22" s="3" t="s">
        <v>26</v>
      </c>
      <c r="K22" s="2" t="s">
        <v>15</v>
      </c>
      <c r="L22" s="5" t="s">
        <v>15</v>
      </c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8</v>
      </c>
      <c r="S22" s="103">
        <f t="shared" ref="S22:S28" si="5">Q22*R22</f>
        <v>8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>
        <v>5</v>
      </c>
      <c r="B23" s="2">
        <v>112</v>
      </c>
      <c r="C23" s="133" t="s">
        <v>13</v>
      </c>
      <c r="D23" s="2">
        <v>2821</v>
      </c>
      <c r="E23" s="16" t="s">
        <v>115</v>
      </c>
      <c r="F23" s="2" t="s">
        <v>76</v>
      </c>
      <c r="G23" s="2">
        <v>2</v>
      </c>
      <c r="H23" s="3">
        <v>25</v>
      </c>
      <c r="I23" s="3">
        <v>8</v>
      </c>
      <c r="J23" s="3" t="s">
        <v>14</v>
      </c>
      <c r="K23" s="4" t="s">
        <v>15</v>
      </c>
      <c r="L23" s="5" t="s">
        <v>16</v>
      </c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11</v>
      </c>
      <c r="S23" s="103">
        <f t="shared" si="5"/>
        <v>5.5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>
        <v>5</v>
      </c>
      <c r="B24" s="2" t="s">
        <v>116</v>
      </c>
      <c r="C24" s="133" t="s">
        <v>13</v>
      </c>
      <c r="D24" s="2">
        <v>2809</v>
      </c>
      <c r="E24" s="16" t="s">
        <v>117</v>
      </c>
      <c r="F24" s="2" t="s">
        <v>118</v>
      </c>
      <c r="G24" s="2">
        <v>4</v>
      </c>
      <c r="H24" s="3">
        <v>45</v>
      </c>
      <c r="I24" s="3">
        <v>10</v>
      </c>
      <c r="J24" s="3" t="s">
        <v>26</v>
      </c>
      <c r="K24" s="4" t="s">
        <v>15</v>
      </c>
      <c r="L24" s="5" t="s">
        <v>16</v>
      </c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>
        <v>5</v>
      </c>
      <c r="B25" s="2" t="s">
        <v>119</v>
      </c>
      <c r="C25" s="133" t="s">
        <v>23</v>
      </c>
      <c r="D25" s="2">
        <v>172416</v>
      </c>
      <c r="E25" s="18" t="s">
        <v>120</v>
      </c>
      <c r="F25" s="2" t="s">
        <v>76</v>
      </c>
      <c r="G25" s="2">
        <v>2</v>
      </c>
      <c r="H25" s="3">
        <v>22</v>
      </c>
      <c r="I25" s="3" t="s">
        <v>34</v>
      </c>
      <c r="J25" s="3" t="s">
        <v>18</v>
      </c>
      <c r="K25" s="4" t="s">
        <v>15</v>
      </c>
      <c r="L25" s="5" t="s">
        <v>16</v>
      </c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>
        <v>6</v>
      </c>
      <c r="B26" s="2">
        <v>517</v>
      </c>
      <c r="C26" s="133" t="s">
        <v>13</v>
      </c>
      <c r="D26" s="2">
        <v>2824</v>
      </c>
      <c r="E26" s="16" t="s">
        <v>124</v>
      </c>
      <c r="F26" s="2" t="s">
        <v>76</v>
      </c>
      <c r="G26" s="2">
        <v>2</v>
      </c>
      <c r="H26" s="3">
        <v>25</v>
      </c>
      <c r="I26" s="3">
        <v>8</v>
      </c>
      <c r="J26" s="3" t="s">
        <v>18</v>
      </c>
      <c r="K26" s="4" t="s">
        <v>15</v>
      </c>
      <c r="L26" s="5" t="s">
        <v>16</v>
      </c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>
        <v>6</v>
      </c>
      <c r="B27" s="2">
        <v>325</v>
      </c>
      <c r="C27" s="133" t="s">
        <v>17</v>
      </c>
      <c r="D27" s="2">
        <v>2598</v>
      </c>
      <c r="E27" s="16" t="s">
        <v>121</v>
      </c>
      <c r="F27" s="2" t="s">
        <v>123</v>
      </c>
      <c r="G27" s="2">
        <v>2</v>
      </c>
      <c r="H27" s="3">
        <v>140</v>
      </c>
      <c r="I27" s="3">
        <v>42</v>
      </c>
      <c r="J27" s="3" t="s">
        <v>19</v>
      </c>
      <c r="K27" s="4" t="s">
        <v>15</v>
      </c>
      <c r="L27" s="5" t="s">
        <v>15</v>
      </c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>
        <v>6</v>
      </c>
      <c r="B28" s="17">
        <v>528</v>
      </c>
      <c r="C28" s="133" t="s">
        <v>13</v>
      </c>
      <c r="D28" s="2">
        <v>2825</v>
      </c>
      <c r="E28" s="16" t="s">
        <v>125</v>
      </c>
      <c r="F28" s="2" t="s">
        <v>76</v>
      </c>
      <c r="G28" s="2">
        <v>1</v>
      </c>
      <c r="H28" s="3">
        <v>25</v>
      </c>
      <c r="I28" s="3">
        <v>8</v>
      </c>
      <c r="J28" s="3" t="s">
        <v>18</v>
      </c>
      <c r="K28" s="4" t="s">
        <v>15</v>
      </c>
      <c r="L28" s="5" t="s">
        <v>16</v>
      </c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>
        <v>7</v>
      </c>
      <c r="B29" s="2">
        <v>423</v>
      </c>
      <c r="C29" s="133" t="s">
        <v>13</v>
      </c>
      <c r="D29" s="2">
        <v>2813</v>
      </c>
      <c r="E29" s="16" t="s">
        <v>126</v>
      </c>
      <c r="F29" s="2" t="s">
        <v>76</v>
      </c>
      <c r="G29" s="2">
        <v>1</v>
      </c>
      <c r="H29" s="3">
        <v>25</v>
      </c>
      <c r="I29" s="3">
        <v>8</v>
      </c>
      <c r="J29" s="3" t="s">
        <v>98</v>
      </c>
      <c r="K29" s="4" t="s">
        <v>15</v>
      </c>
      <c r="L29" s="5" t="s">
        <v>16</v>
      </c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19.950000000000003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>
        <v>7</v>
      </c>
      <c r="B30" s="2">
        <v>111</v>
      </c>
      <c r="C30" s="133" t="s">
        <v>13</v>
      </c>
      <c r="D30" s="2">
        <v>2826</v>
      </c>
      <c r="E30" s="16" t="s">
        <v>127</v>
      </c>
      <c r="F30" s="2" t="s">
        <v>76</v>
      </c>
      <c r="G30" s="2">
        <v>2</v>
      </c>
      <c r="H30" s="3">
        <v>25</v>
      </c>
      <c r="I30" s="3">
        <v>8</v>
      </c>
      <c r="J30" s="3" t="s">
        <v>27</v>
      </c>
      <c r="K30" s="4" t="s">
        <v>15</v>
      </c>
      <c r="L30" s="5" t="s">
        <v>16</v>
      </c>
      <c r="M30" s="144"/>
      <c r="N30" s="271" t="s">
        <v>25</v>
      </c>
      <c r="O30" s="272"/>
      <c r="P30" s="112">
        <f>SUM(P19+P29-R8)</f>
        <v>3070.5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>
        <v>7</v>
      </c>
      <c r="B31" s="2" t="s">
        <v>128</v>
      </c>
      <c r="C31" s="133" t="s">
        <v>23</v>
      </c>
      <c r="D31" s="2">
        <v>172709</v>
      </c>
      <c r="E31" s="16" t="s">
        <v>91</v>
      </c>
      <c r="F31" s="2" t="s">
        <v>76</v>
      </c>
      <c r="G31" s="2">
        <v>2</v>
      </c>
      <c r="H31" s="3">
        <v>22</v>
      </c>
      <c r="I31" s="3" t="s">
        <v>34</v>
      </c>
      <c r="J31" s="3" t="s">
        <v>18</v>
      </c>
      <c r="K31" s="4" t="s">
        <v>15</v>
      </c>
      <c r="L31" s="5" t="s">
        <v>16</v>
      </c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>
        <v>7</v>
      </c>
      <c r="B32" s="2" t="s">
        <v>129</v>
      </c>
      <c r="C32" s="133" t="s">
        <v>13</v>
      </c>
      <c r="D32" s="2">
        <v>834</v>
      </c>
      <c r="E32" s="16" t="s">
        <v>130</v>
      </c>
      <c r="F32" s="2" t="s">
        <v>131</v>
      </c>
      <c r="G32" s="2">
        <v>2</v>
      </c>
      <c r="H32" s="3">
        <v>35</v>
      </c>
      <c r="I32" s="3">
        <v>10</v>
      </c>
      <c r="J32" s="3" t="s">
        <v>132</v>
      </c>
      <c r="K32" s="4" t="s">
        <v>15</v>
      </c>
      <c r="L32" s="5" t="s">
        <v>16</v>
      </c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>
        <v>7</v>
      </c>
      <c r="B33" s="2">
        <v>325</v>
      </c>
      <c r="C33" s="133" t="s">
        <v>13</v>
      </c>
      <c r="D33" s="2">
        <v>2830</v>
      </c>
      <c r="E33" s="16" t="s">
        <v>139</v>
      </c>
      <c r="F33" s="2" t="s">
        <v>76</v>
      </c>
      <c r="G33" s="2">
        <v>2</v>
      </c>
      <c r="H33" s="3">
        <v>25</v>
      </c>
      <c r="I33" s="3">
        <v>8</v>
      </c>
      <c r="J33" s="3" t="s">
        <v>98</v>
      </c>
      <c r="K33" s="4" t="s">
        <v>15</v>
      </c>
      <c r="L33" s="5" t="s">
        <v>16</v>
      </c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>
        <v>7</v>
      </c>
      <c r="B34" s="2" t="s">
        <v>133</v>
      </c>
      <c r="C34" s="133" t="s">
        <v>13</v>
      </c>
      <c r="D34" s="2">
        <v>487</v>
      </c>
      <c r="E34" s="16" t="s">
        <v>134</v>
      </c>
      <c r="F34" s="2" t="s">
        <v>135</v>
      </c>
      <c r="G34" s="2">
        <v>4</v>
      </c>
      <c r="H34" s="3">
        <v>45</v>
      </c>
      <c r="I34" s="3">
        <v>10</v>
      </c>
      <c r="J34" s="3" t="s">
        <v>14</v>
      </c>
      <c r="K34" s="4" t="s">
        <v>15</v>
      </c>
      <c r="L34" s="5" t="s">
        <v>16</v>
      </c>
      <c r="M34" s="144"/>
      <c r="N34" s="100">
        <v>500</v>
      </c>
      <c r="O34" s="35">
        <v>0</v>
      </c>
      <c r="P34" s="96">
        <f t="shared" ref="P34" si="6">N34*O34</f>
        <v>0</v>
      </c>
      <c r="Q34" s="38"/>
      <c r="R34" s="39"/>
      <c r="S34" s="84"/>
      <c r="T34" s="85" t="s">
        <v>17</v>
      </c>
      <c r="U34" s="86">
        <f>Q2-208.2</f>
        <v>124.19999999999999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>
        <v>7</v>
      </c>
      <c r="B35" s="2" t="s">
        <v>136</v>
      </c>
      <c r="C35" s="133" t="s">
        <v>23</v>
      </c>
      <c r="D35" s="2">
        <v>173047</v>
      </c>
      <c r="E35" s="16" t="s">
        <v>137</v>
      </c>
      <c r="F35" s="2" t="s">
        <v>138</v>
      </c>
      <c r="G35" s="2">
        <v>2</v>
      </c>
      <c r="H35" s="3">
        <v>39</v>
      </c>
      <c r="I35" s="3" t="s">
        <v>34</v>
      </c>
      <c r="J35" s="3" t="s">
        <v>19</v>
      </c>
      <c r="K35" s="4" t="s">
        <v>15</v>
      </c>
      <c r="L35" s="5" t="s">
        <v>16</v>
      </c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Q3-502</f>
        <v>694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>
        <v>8</v>
      </c>
      <c r="B36" s="2">
        <v>413</v>
      </c>
      <c r="C36" s="133" t="s">
        <v>24</v>
      </c>
      <c r="D36" s="2" t="s">
        <v>140</v>
      </c>
      <c r="E36" s="16" t="s">
        <v>107</v>
      </c>
      <c r="F36" s="2" t="s">
        <v>97</v>
      </c>
      <c r="G36" s="2">
        <v>2</v>
      </c>
      <c r="H36" s="3">
        <v>156</v>
      </c>
      <c r="I36" s="8">
        <v>46.8</v>
      </c>
      <c r="J36" s="3" t="s">
        <v>19</v>
      </c>
      <c r="K36" s="4" t="s">
        <v>15</v>
      </c>
      <c r="L36" s="5" t="s">
        <v>15</v>
      </c>
      <c r="M36" s="144"/>
      <c r="N36" s="91">
        <v>100</v>
      </c>
      <c r="O36" s="7">
        <v>0</v>
      </c>
      <c r="P36" s="94">
        <f>N36*O36</f>
        <v>0</v>
      </c>
      <c r="Q36" s="28"/>
      <c r="R36" s="25"/>
      <c r="S36" s="87"/>
      <c r="T36" s="88" t="s">
        <v>22</v>
      </c>
      <c r="U36" s="89">
        <f>Q4-52.5</f>
        <v>51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>
        <v>8</v>
      </c>
      <c r="B37" s="2" t="s">
        <v>141</v>
      </c>
      <c r="C37" s="133" t="s">
        <v>13</v>
      </c>
      <c r="D37" s="2">
        <v>380</v>
      </c>
      <c r="E37" s="16" t="s">
        <v>142</v>
      </c>
      <c r="F37" s="2" t="s">
        <v>76</v>
      </c>
      <c r="G37" s="2">
        <v>2</v>
      </c>
      <c r="H37" s="3">
        <v>25</v>
      </c>
      <c r="I37" s="8">
        <v>8</v>
      </c>
      <c r="J37" s="3" t="s">
        <v>14</v>
      </c>
      <c r="K37" s="4" t="s">
        <v>15</v>
      </c>
      <c r="L37" s="5" t="s">
        <v>16</v>
      </c>
      <c r="M37" s="144"/>
      <c r="N37" s="91">
        <v>50</v>
      </c>
      <c r="O37" s="7">
        <v>0</v>
      </c>
      <c r="P37" s="94">
        <f>N37*O37</f>
        <v>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>
        <v>8</v>
      </c>
      <c r="B38" s="2" t="s">
        <v>143</v>
      </c>
      <c r="C38" s="133" t="s">
        <v>13</v>
      </c>
      <c r="D38" s="2">
        <v>2823</v>
      </c>
      <c r="E38" s="2" t="s">
        <v>144</v>
      </c>
      <c r="F38" s="2" t="s">
        <v>145</v>
      </c>
      <c r="G38" s="2">
        <v>4</v>
      </c>
      <c r="H38" s="3">
        <v>45</v>
      </c>
      <c r="I38" s="3">
        <v>10</v>
      </c>
      <c r="J38" s="3" t="s">
        <v>27</v>
      </c>
      <c r="K38" s="4" t="s">
        <v>15</v>
      </c>
      <c r="L38" s="5" t="s">
        <v>16</v>
      </c>
      <c r="M38" s="144"/>
      <c r="N38" s="91">
        <v>20</v>
      </c>
      <c r="O38" s="7">
        <v>0</v>
      </c>
      <c r="P38" s="94">
        <f>N38*O38</f>
        <v>0</v>
      </c>
      <c r="Q38" s="28"/>
      <c r="R38" s="25"/>
      <c r="S38" s="40">
        <v>14</v>
      </c>
      <c r="T38" s="41" t="s">
        <v>375</v>
      </c>
      <c r="U38" s="42">
        <v>2</v>
      </c>
      <c r="V38" s="43" t="s">
        <v>18</v>
      </c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>
        <v>8</v>
      </c>
      <c r="B39" s="2" t="s">
        <v>150</v>
      </c>
      <c r="C39" s="133" t="s">
        <v>13</v>
      </c>
      <c r="D39" s="2">
        <v>2833</v>
      </c>
      <c r="E39" s="16" t="s">
        <v>151</v>
      </c>
      <c r="F39" s="2" t="s">
        <v>152</v>
      </c>
      <c r="G39" s="2">
        <v>1</v>
      </c>
      <c r="H39" s="3">
        <v>35</v>
      </c>
      <c r="I39" s="8">
        <v>10</v>
      </c>
      <c r="J39" s="3" t="s">
        <v>14</v>
      </c>
      <c r="K39" s="4" t="s">
        <v>15</v>
      </c>
      <c r="L39" s="5" t="s">
        <v>16</v>
      </c>
      <c r="M39" s="144"/>
      <c r="N39" s="91">
        <v>10</v>
      </c>
      <c r="O39" s="7">
        <v>0</v>
      </c>
      <c r="P39" s="94">
        <f>N39*O39</f>
        <v>0</v>
      </c>
      <c r="Q39" s="28"/>
      <c r="R39" s="25"/>
      <c r="S39" s="40">
        <v>14</v>
      </c>
      <c r="T39" s="41" t="s">
        <v>382</v>
      </c>
      <c r="U39" s="42">
        <v>-25</v>
      </c>
      <c r="V39" s="43" t="s">
        <v>18</v>
      </c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>
        <v>8</v>
      </c>
      <c r="B40" s="2" t="s">
        <v>146</v>
      </c>
      <c r="C40" s="133" t="s">
        <v>13</v>
      </c>
      <c r="D40" s="2">
        <v>835</v>
      </c>
      <c r="E40" s="16" t="s">
        <v>147</v>
      </c>
      <c r="F40" s="2" t="s">
        <v>148</v>
      </c>
      <c r="G40" s="2">
        <v>2</v>
      </c>
      <c r="H40" s="3">
        <v>35</v>
      </c>
      <c r="I40" s="3">
        <v>10</v>
      </c>
      <c r="J40" s="3" t="s">
        <v>132</v>
      </c>
      <c r="K40" s="4" t="s">
        <v>15</v>
      </c>
      <c r="L40" s="5" t="s">
        <v>16</v>
      </c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>
        <v>15</v>
      </c>
      <c r="T40" s="41" t="s">
        <v>384</v>
      </c>
      <c r="U40" s="42">
        <v>10</v>
      </c>
      <c r="V40" s="43" t="s">
        <v>27</v>
      </c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>
        <v>8</v>
      </c>
      <c r="B41" s="2">
        <v>430</v>
      </c>
      <c r="C41" s="133" t="s">
        <v>13</v>
      </c>
      <c r="D41" s="2">
        <v>2832</v>
      </c>
      <c r="E41" s="16" t="s">
        <v>149</v>
      </c>
      <c r="F41" s="2" t="s">
        <v>76</v>
      </c>
      <c r="G41" s="2">
        <v>2</v>
      </c>
      <c r="H41" s="3">
        <v>25</v>
      </c>
      <c r="I41" s="3">
        <v>8</v>
      </c>
      <c r="J41" s="3" t="s">
        <v>27</v>
      </c>
      <c r="K41" s="4" t="s">
        <v>15</v>
      </c>
      <c r="L41" s="5" t="s">
        <v>16</v>
      </c>
      <c r="M41" s="144"/>
      <c r="N41" s="279"/>
      <c r="O41" s="280"/>
      <c r="P41" s="119">
        <f>SUM(P34:P40)</f>
        <v>0</v>
      </c>
      <c r="Q41" s="28"/>
      <c r="R41" s="25"/>
      <c r="S41" s="40">
        <v>16</v>
      </c>
      <c r="T41" s="41" t="s">
        <v>387</v>
      </c>
      <c r="U41" s="42">
        <v>25</v>
      </c>
      <c r="V41" s="43" t="s">
        <v>19</v>
      </c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>
        <v>9</v>
      </c>
      <c r="B42" s="2">
        <v>116</v>
      </c>
      <c r="C42" s="133" t="s">
        <v>13</v>
      </c>
      <c r="D42" s="2">
        <v>2837</v>
      </c>
      <c r="E42" s="18" t="s">
        <v>153</v>
      </c>
      <c r="F42" s="2" t="s">
        <v>76</v>
      </c>
      <c r="G42" s="2">
        <v>2</v>
      </c>
      <c r="H42" s="3">
        <v>25</v>
      </c>
      <c r="I42" s="8">
        <v>8</v>
      </c>
      <c r="J42" s="3" t="s">
        <v>19</v>
      </c>
      <c r="K42" s="4" t="s">
        <v>15</v>
      </c>
      <c r="L42" s="5" t="s">
        <v>16</v>
      </c>
      <c r="M42" s="144"/>
      <c r="N42" s="281" t="s">
        <v>44</v>
      </c>
      <c r="O42" s="282"/>
      <c r="P42" s="283"/>
      <c r="Q42" s="28"/>
      <c r="R42" s="25"/>
      <c r="S42" s="40">
        <v>18</v>
      </c>
      <c r="T42" s="41" t="s">
        <v>395</v>
      </c>
      <c r="U42" s="44">
        <v>-0.45</v>
      </c>
      <c r="V42" s="43" t="s">
        <v>26</v>
      </c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>
        <v>9</v>
      </c>
      <c r="B43" s="2">
        <v>530</v>
      </c>
      <c r="C43" s="133" t="s">
        <v>13</v>
      </c>
      <c r="D43" s="2">
        <v>2839</v>
      </c>
      <c r="E43" s="18" t="s">
        <v>127</v>
      </c>
      <c r="F43" s="2" t="s">
        <v>76</v>
      </c>
      <c r="G43" s="2">
        <v>2</v>
      </c>
      <c r="H43" s="3">
        <v>25</v>
      </c>
      <c r="I43" s="8">
        <v>8</v>
      </c>
      <c r="J43" s="3" t="s">
        <v>27</v>
      </c>
      <c r="K43" s="4" t="s">
        <v>15</v>
      </c>
      <c r="L43" s="5" t="s">
        <v>16</v>
      </c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168">
        <v>18</v>
      </c>
      <c r="T43" s="169" t="s">
        <v>398</v>
      </c>
      <c r="U43" s="170">
        <v>0.51</v>
      </c>
      <c r="V43" s="171" t="s">
        <v>19</v>
      </c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>
        <v>9</v>
      </c>
      <c r="B44" s="2" t="s">
        <v>154</v>
      </c>
      <c r="C44" s="133" t="s">
        <v>13</v>
      </c>
      <c r="D44" s="2">
        <v>2810</v>
      </c>
      <c r="E44" s="16" t="s">
        <v>155</v>
      </c>
      <c r="F44" s="2" t="s">
        <v>76</v>
      </c>
      <c r="G44" s="2">
        <v>4</v>
      </c>
      <c r="H44" s="3">
        <v>40</v>
      </c>
      <c r="I44" s="8">
        <v>12</v>
      </c>
      <c r="J44" s="3" t="s">
        <v>26</v>
      </c>
      <c r="K44" s="4" t="s">
        <v>15</v>
      </c>
      <c r="L44" s="5" t="s">
        <v>16</v>
      </c>
      <c r="M44" s="144"/>
      <c r="N44" s="91">
        <v>1</v>
      </c>
      <c r="O44" s="7">
        <v>1</v>
      </c>
      <c r="P44" s="94">
        <f>N44*O44</f>
        <v>1</v>
      </c>
      <c r="Q44" s="29"/>
      <c r="R44" s="25"/>
      <c r="S44" s="40">
        <v>19</v>
      </c>
      <c r="T44" s="41" t="s">
        <v>403</v>
      </c>
      <c r="U44" s="44">
        <v>30</v>
      </c>
      <c r="V44" s="43" t="s">
        <v>27</v>
      </c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>
        <v>9</v>
      </c>
      <c r="B45" s="2" t="s">
        <v>156</v>
      </c>
      <c r="C45" s="133" t="s">
        <v>13</v>
      </c>
      <c r="D45" s="2">
        <v>2637</v>
      </c>
      <c r="E45" s="16" t="s">
        <v>157</v>
      </c>
      <c r="F45" s="2" t="s">
        <v>158</v>
      </c>
      <c r="G45" s="2">
        <v>2</v>
      </c>
      <c r="H45" s="3">
        <v>35</v>
      </c>
      <c r="I45" s="8">
        <v>10</v>
      </c>
      <c r="J45" s="3" t="s">
        <v>98</v>
      </c>
      <c r="K45" s="4" t="s">
        <v>15</v>
      </c>
      <c r="L45" s="5" t="s">
        <v>16</v>
      </c>
      <c r="M45" s="144"/>
      <c r="N45" s="91">
        <v>0.5</v>
      </c>
      <c r="O45" s="7">
        <v>2</v>
      </c>
      <c r="P45" s="94">
        <f>N45*O45</f>
        <v>1</v>
      </c>
      <c r="Q45" s="31"/>
      <c r="R45" s="32"/>
      <c r="S45" s="40">
        <v>19</v>
      </c>
      <c r="T45" s="41" t="s">
        <v>405</v>
      </c>
      <c r="U45" s="44">
        <v>8</v>
      </c>
      <c r="V45" s="43" t="s">
        <v>39</v>
      </c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>
        <v>10</v>
      </c>
      <c r="B46" s="2">
        <v>223</v>
      </c>
      <c r="C46" s="133" t="s">
        <v>13</v>
      </c>
      <c r="D46" s="2">
        <v>2838</v>
      </c>
      <c r="E46" s="16" t="s">
        <v>159</v>
      </c>
      <c r="F46" s="2" t="s">
        <v>76</v>
      </c>
      <c r="G46" s="2">
        <v>1</v>
      </c>
      <c r="H46" s="3">
        <v>25</v>
      </c>
      <c r="I46" s="8">
        <v>8</v>
      </c>
      <c r="J46" s="3" t="s">
        <v>41</v>
      </c>
      <c r="K46" s="4" t="s">
        <v>15</v>
      </c>
      <c r="L46" s="5" t="s">
        <v>16</v>
      </c>
      <c r="M46" s="144"/>
      <c r="N46" s="91">
        <v>0.2</v>
      </c>
      <c r="O46" s="7">
        <v>6</v>
      </c>
      <c r="P46" s="94">
        <f t="shared" si="8"/>
        <v>1.2000000000000002</v>
      </c>
      <c r="Q46" s="120" t="s">
        <v>25</v>
      </c>
      <c r="R46" s="119">
        <f>SUM(R34:R45)</f>
        <v>0</v>
      </c>
      <c r="S46" s="40">
        <v>21</v>
      </c>
      <c r="T46" s="41" t="s">
        <v>417</v>
      </c>
      <c r="U46" s="44">
        <v>2</v>
      </c>
      <c r="V46" s="43" t="s">
        <v>26</v>
      </c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>
        <v>10</v>
      </c>
      <c r="B47" s="165">
        <v>316</v>
      </c>
      <c r="C47" s="133" t="s">
        <v>13</v>
      </c>
      <c r="D47" s="2">
        <v>2840</v>
      </c>
      <c r="E47" s="2" t="s">
        <v>155</v>
      </c>
      <c r="F47" s="2" t="s">
        <v>76</v>
      </c>
      <c r="G47" s="2">
        <v>2</v>
      </c>
      <c r="H47" s="3">
        <v>25</v>
      </c>
      <c r="I47" s="3">
        <v>8</v>
      </c>
      <c r="J47" s="3" t="s">
        <v>27</v>
      </c>
      <c r="K47" s="2" t="s">
        <v>15</v>
      </c>
      <c r="L47" s="5" t="s">
        <v>16</v>
      </c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168">
        <v>22</v>
      </c>
      <c r="T47" s="169" t="s">
        <v>398</v>
      </c>
      <c r="U47" s="170">
        <v>24.08</v>
      </c>
      <c r="V47" s="174" t="s">
        <v>14</v>
      </c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>
        <v>10</v>
      </c>
      <c r="B48" s="2">
        <v>411</v>
      </c>
      <c r="C48" s="133" t="s">
        <v>13</v>
      </c>
      <c r="D48" s="2">
        <v>2845</v>
      </c>
      <c r="E48" s="2" t="s">
        <v>160</v>
      </c>
      <c r="F48" s="2" t="s">
        <v>76</v>
      </c>
      <c r="G48" s="2">
        <v>4</v>
      </c>
      <c r="H48" s="3">
        <v>40</v>
      </c>
      <c r="I48" s="3">
        <v>12</v>
      </c>
      <c r="J48" s="3" t="s">
        <v>14</v>
      </c>
      <c r="K48" s="2" t="s">
        <v>15</v>
      </c>
      <c r="L48" s="5" t="s">
        <v>16</v>
      </c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29.400000000000091</v>
      </c>
      <c r="S48" s="168">
        <v>26</v>
      </c>
      <c r="T48" s="169" t="s">
        <v>437</v>
      </c>
      <c r="U48" s="170">
        <v>21.37</v>
      </c>
      <c r="V48" s="171" t="s">
        <v>19</v>
      </c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>
        <v>10</v>
      </c>
      <c r="B49" s="2" t="s">
        <v>161</v>
      </c>
      <c r="C49" s="133" t="s">
        <v>23</v>
      </c>
      <c r="D49" s="17">
        <v>173481</v>
      </c>
      <c r="E49" s="2" t="s">
        <v>115</v>
      </c>
      <c r="F49" s="2" t="s">
        <v>76</v>
      </c>
      <c r="G49" s="2">
        <v>3</v>
      </c>
      <c r="H49" s="3">
        <v>22</v>
      </c>
      <c r="I49" s="3" t="s">
        <v>34</v>
      </c>
      <c r="J49" s="3" t="s">
        <v>19</v>
      </c>
      <c r="K49" s="2" t="s">
        <v>15</v>
      </c>
      <c r="L49" s="5" t="s">
        <v>16</v>
      </c>
      <c r="M49" s="144"/>
      <c r="N49" s="91">
        <v>0.02</v>
      </c>
      <c r="O49" s="7">
        <v>1</v>
      </c>
      <c r="P49" s="94">
        <f t="shared" si="8"/>
        <v>0.02</v>
      </c>
      <c r="Q49" s="116" t="s">
        <v>70</v>
      </c>
      <c r="R49" s="122">
        <f>P41+P51+R46</f>
        <v>3.4</v>
      </c>
      <c r="S49" s="40">
        <v>26</v>
      </c>
      <c r="T49" s="41" t="s">
        <v>448</v>
      </c>
      <c r="U49" s="44">
        <v>2</v>
      </c>
      <c r="V49" s="43" t="s">
        <v>14</v>
      </c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>
        <v>10</v>
      </c>
      <c r="B50" s="2" t="s">
        <v>162</v>
      </c>
      <c r="C50" s="133" t="s">
        <v>13</v>
      </c>
      <c r="D50" s="2">
        <v>2836</v>
      </c>
      <c r="E50" s="2" t="s">
        <v>163</v>
      </c>
      <c r="F50" s="2" t="s">
        <v>164</v>
      </c>
      <c r="G50" s="2">
        <v>2</v>
      </c>
      <c r="H50" s="3">
        <v>35</v>
      </c>
      <c r="I50" s="3">
        <v>10</v>
      </c>
      <c r="J50" s="3" t="s">
        <v>27</v>
      </c>
      <c r="K50" s="2" t="s">
        <v>15</v>
      </c>
      <c r="L50" s="5" t="s">
        <v>16</v>
      </c>
      <c r="M50" s="144"/>
      <c r="N50" s="92">
        <v>0.01</v>
      </c>
      <c r="O50" s="26">
        <v>3</v>
      </c>
      <c r="P50" s="95">
        <f t="shared" si="8"/>
        <v>0.03</v>
      </c>
      <c r="Q50" s="117" t="s">
        <v>59</v>
      </c>
      <c r="R50" s="167">
        <f>R49-R48</f>
        <v>-26.000000000000092</v>
      </c>
      <c r="S50" s="40">
        <v>28</v>
      </c>
      <c r="T50" s="41" t="s">
        <v>449</v>
      </c>
      <c r="U50" s="44">
        <v>-960</v>
      </c>
      <c r="V50" s="43" t="s">
        <v>18</v>
      </c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>
        <v>10</v>
      </c>
      <c r="B51" s="2" t="s">
        <v>165</v>
      </c>
      <c r="C51" s="133" t="s">
        <v>13</v>
      </c>
      <c r="D51" s="2">
        <v>836</v>
      </c>
      <c r="E51" s="2" t="s">
        <v>166</v>
      </c>
      <c r="F51" s="2" t="s">
        <v>76</v>
      </c>
      <c r="G51" s="2">
        <v>2</v>
      </c>
      <c r="H51" s="3">
        <v>40</v>
      </c>
      <c r="I51" s="3">
        <v>12</v>
      </c>
      <c r="J51" s="3" t="s">
        <v>132</v>
      </c>
      <c r="K51" s="2" t="s">
        <v>15</v>
      </c>
      <c r="L51" s="5" t="s">
        <v>16</v>
      </c>
      <c r="M51" s="144"/>
      <c r="N51" s="269"/>
      <c r="O51" s="270"/>
      <c r="P51" s="118">
        <f>SUM(P43:P50)</f>
        <v>3.4</v>
      </c>
      <c r="Q51" s="125" t="s">
        <v>60</v>
      </c>
      <c r="R51" s="126">
        <f>R49/8</f>
        <v>0.42499999999999999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>
        <v>10</v>
      </c>
      <c r="B52" s="2" t="s">
        <v>167</v>
      </c>
      <c r="C52" s="133" t="s">
        <v>13</v>
      </c>
      <c r="D52" s="2">
        <v>2842</v>
      </c>
      <c r="E52" s="2" t="s">
        <v>168</v>
      </c>
      <c r="F52" s="2" t="s">
        <v>169</v>
      </c>
      <c r="G52" s="2">
        <v>2</v>
      </c>
      <c r="H52" s="3">
        <v>35</v>
      </c>
      <c r="I52" s="8">
        <v>10</v>
      </c>
      <c r="J52" s="3" t="s">
        <v>14</v>
      </c>
      <c r="K52" s="4" t="s">
        <v>15</v>
      </c>
      <c r="L52" s="5" t="s">
        <v>16</v>
      </c>
      <c r="M52" s="144"/>
      <c r="N52" s="143"/>
      <c r="O52" s="143" t="s">
        <v>45</v>
      </c>
      <c r="P52" s="143"/>
      <c r="Q52" s="143"/>
      <c r="R52" s="143"/>
      <c r="S52" s="143"/>
      <c r="T52" s="143" t="s">
        <v>45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>
        <v>10</v>
      </c>
      <c r="B53" s="2" t="s">
        <v>170</v>
      </c>
      <c r="C53" s="133" t="s">
        <v>13</v>
      </c>
      <c r="D53" s="2">
        <v>2834</v>
      </c>
      <c r="E53" s="18" t="s">
        <v>171</v>
      </c>
      <c r="F53" s="2" t="s">
        <v>172</v>
      </c>
      <c r="G53" s="2">
        <v>2</v>
      </c>
      <c r="H53" s="3">
        <v>35</v>
      </c>
      <c r="I53" s="3">
        <v>10</v>
      </c>
      <c r="J53" s="3" t="s">
        <v>27</v>
      </c>
      <c r="K53" s="4" t="s">
        <v>15</v>
      </c>
      <c r="L53" s="5" t="s">
        <v>16</v>
      </c>
      <c r="M53" s="144"/>
      <c r="N53" s="284" t="s">
        <v>450</v>
      </c>
      <c r="O53" s="285"/>
      <c r="P53" s="285"/>
      <c r="Q53" s="285"/>
      <c r="R53" s="285"/>
      <c r="S53" s="285"/>
      <c r="T53" s="285"/>
      <c r="U53" s="285"/>
      <c r="V53" s="285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>
        <v>11</v>
      </c>
      <c r="B54" s="2">
        <v>510</v>
      </c>
      <c r="C54" s="133" t="s">
        <v>13</v>
      </c>
      <c r="D54" s="2">
        <v>2849</v>
      </c>
      <c r="E54" s="2" t="s">
        <v>153</v>
      </c>
      <c r="F54" s="2" t="s">
        <v>76</v>
      </c>
      <c r="G54" s="2">
        <v>2</v>
      </c>
      <c r="H54" s="3">
        <v>25</v>
      </c>
      <c r="I54" s="3">
        <v>8</v>
      </c>
      <c r="J54" s="3" t="s">
        <v>18</v>
      </c>
      <c r="K54" s="2" t="s">
        <v>15</v>
      </c>
      <c r="L54" s="5" t="s">
        <v>16</v>
      </c>
      <c r="M54" s="144"/>
      <c r="N54" s="284"/>
      <c r="O54" s="285"/>
      <c r="P54" s="285"/>
      <c r="Q54" s="285"/>
      <c r="R54" s="285"/>
      <c r="S54" s="285"/>
      <c r="T54" s="285"/>
      <c r="U54" s="285"/>
      <c r="V54" s="285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>
        <v>11</v>
      </c>
      <c r="B55" s="2">
        <v>205</v>
      </c>
      <c r="C55" s="133" t="s">
        <v>13</v>
      </c>
      <c r="D55" s="2">
        <v>2850</v>
      </c>
      <c r="E55" s="2" t="s">
        <v>178</v>
      </c>
      <c r="F55" s="2" t="s">
        <v>76</v>
      </c>
      <c r="G55" s="2">
        <v>3</v>
      </c>
      <c r="H55" s="3">
        <v>25</v>
      </c>
      <c r="I55" s="3">
        <v>8</v>
      </c>
      <c r="J55" s="3" t="s">
        <v>98</v>
      </c>
      <c r="K55" s="2" t="s">
        <v>15</v>
      </c>
      <c r="L55" s="5" t="s">
        <v>16</v>
      </c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>
        <v>11</v>
      </c>
      <c r="B56" s="2" t="s">
        <v>176</v>
      </c>
      <c r="C56" s="133" t="s">
        <v>13</v>
      </c>
      <c r="D56" s="2">
        <v>2831</v>
      </c>
      <c r="E56" s="2" t="s">
        <v>134</v>
      </c>
      <c r="F56" s="2" t="s">
        <v>177</v>
      </c>
      <c r="G56" s="2">
        <v>1</v>
      </c>
      <c r="H56" s="3">
        <v>35</v>
      </c>
      <c r="I56" s="3">
        <v>10</v>
      </c>
      <c r="J56" s="3" t="s">
        <v>27</v>
      </c>
      <c r="K56" s="2" t="s">
        <v>15</v>
      </c>
      <c r="L56" s="5" t="s">
        <v>16</v>
      </c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>
        <v>11</v>
      </c>
      <c r="B57" s="2" t="s">
        <v>173</v>
      </c>
      <c r="C57" s="133" t="s">
        <v>23</v>
      </c>
      <c r="D57" s="2">
        <v>173312</v>
      </c>
      <c r="E57" s="2" t="s">
        <v>174</v>
      </c>
      <c r="F57" s="2" t="s">
        <v>175</v>
      </c>
      <c r="G57" s="2">
        <v>2</v>
      </c>
      <c r="H57" s="3">
        <v>39</v>
      </c>
      <c r="I57" s="3" t="s">
        <v>34</v>
      </c>
      <c r="J57" s="3" t="s">
        <v>18</v>
      </c>
      <c r="K57" s="2" t="s">
        <v>15</v>
      </c>
      <c r="L57" s="5" t="s">
        <v>16</v>
      </c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>
        <v>12</v>
      </c>
      <c r="B58" s="2" t="s">
        <v>193</v>
      </c>
      <c r="C58" s="133" t="s">
        <v>22</v>
      </c>
      <c r="D58" s="2">
        <v>168778</v>
      </c>
      <c r="E58" s="18" t="s">
        <v>34</v>
      </c>
      <c r="F58" s="2" t="s">
        <v>194</v>
      </c>
      <c r="G58" s="2">
        <v>4</v>
      </c>
      <c r="H58" s="3">
        <v>144</v>
      </c>
      <c r="I58" s="3">
        <v>36</v>
      </c>
      <c r="J58" s="3" t="s">
        <v>19</v>
      </c>
      <c r="K58" s="2" t="s">
        <v>15</v>
      </c>
      <c r="L58" s="5" t="s">
        <v>15</v>
      </c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>
        <v>12</v>
      </c>
      <c r="B59" s="2">
        <v>507</v>
      </c>
      <c r="C59" s="133" t="s">
        <v>13</v>
      </c>
      <c r="D59" s="2">
        <v>2753</v>
      </c>
      <c r="E59" s="16" t="s">
        <v>191</v>
      </c>
      <c r="F59" s="2" t="s">
        <v>76</v>
      </c>
      <c r="G59" s="2">
        <v>2</v>
      </c>
      <c r="H59" s="3">
        <v>25</v>
      </c>
      <c r="I59" s="8">
        <v>8</v>
      </c>
      <c r="J59" s="3" t="s">
        <v>19</v>
      </c>
      <c r="K59" s="4" t="s">
        <v>15</v>
      </c>
      <c r="L59" s="5" t="s">
        <v>16</v>
      </c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>
        <v>12</v>
      </c>
      <c r="B60" s="2">
        <v>407</v>
      </c>
      <c r="C60" s="133" t="s">
        <v>13</v>
      </c>
      <c r="D60" s="2">
        <v>2754</v>
      </c>
      <c r="E60" s="16" t="s">
        <v>192</v>
      </c>
      <c r="F60" s="2" t="s">
        <v>76</v>
      </c>
      <c r="G60" s="2">
        <v>1</v>
      </c>
      <c r="H60" s="3">
        <v>25</v>
      </c>
      <c r="I60" s="3">
        <v>8</v>
      </c>
      <c r="J60" s="3" t="s">
        <v>18</v>
      </c>
      <c r="K60" s="2" t="s">
        <v>15</v>
      </c>
      <c r="L60" s="5" t="s">
        <v>16</v>
      </c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>
        <v>12</v>
      </c>
      <c r="B61" s="2" t="s">
        <v>188</v>
      </c>
      <c r="C61" s="133" t="s">
        <v>13</v>
      </c>
      <c r="D61" s="2">
        <v>2848</v>
      </c>
      <c r="E61" s="16" t="s">
        <v>189</v>
      </c>
      <c r="F61" s="2" t="s">
        <v>190</v>
      </c>
      <c r="G61" s="2">
        <v>1</v>
      </c>
      <c r="H61" s="3">
        <v>35</v>
      </c>
      <c r="I61" s="8">
        <v>10</v>
      </c>
      <c r="J61" s="3" t="s">
        <v>18</v>
      </c>
      <c r="K61" s="4" t="s">
        <v>15</v>
      </c>
      <c r="L61" s="5" t="s">
        <v>16</v>
      </c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>
        <v>12</v>
      </c>
      <c r="B62" s="2" t="s">
        <v>185</v>
      </c>
      <c r="C62" s="133" t="s">
        <v>13</v>
      </c>
      <c r="D62" s="2">
        <v>2841</v>
      </c>
      <c r="E62" s="16" t="s">
        <v>144</v>
      </c>
      <c r="F62" s="2" t="s">
        <v>90</v>
      </c>
      <c r="G62" s="2">
        <v>2</v>
      </c>
      <c r="H62" s="3">
        <v>35</v>
      </c>
      <c r="I62" s="8">
        <v>10</v>
      </c>
      <c r="J62" s="3" t="s">
        <v>19</v>
      </c>
      <c r="K62" s="4" t="s">
        <v>15</v>
      </c>
      <c r="L62" s="5" t="s">
        <v>16</v>
      </c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>
        <v>12</v>
      </c>
      <c r="B63" s="2" t="s">
        <v>186</v>
      </c>
      <c r="C63" s="133" t="s">
        <v>13</v>
      </c>
      <c r="D63" s="2">
        <v>2843</v>
      </c>
      <c r="E63" s="18" t="s">
        <v>102</v>
      </c>
      <c r="F63" s="2" t="s">
        <v>187</v>
      </c>
      <c r="G63" s="2">
        <v>2</v>
      </c>
      <c r="H63" s="3">
        <v>35</v>
      </c>
      <c r="I63" s="3">
        <v>10</v>
      </c>
      <c r="J63" s="3" t="s">
        <v>14</v>
      </c>
      <c r="K63" s="4" t="s">
        <v>15</v>
      </c>
      <c r="L63" s="5" t="s">
        <v>16</v>
      </c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>
        <v>12</v>
      </c>
      <c r="B64" s="2" t="s">
        <v>179</v>
      </c>
      <c r="C64" s="133" t="s">
        <v>23</v>
      </c>
      <c r="D64" s="2">
        <v>166697</v>
      </c>
      <c r="E64" s="16" t="s">
        <v>174</v>
      </c>
      <c r="F64" s="2" t="s">
        <v>180</v>
      </c>
      <c r="G64" s="2">
        <v>2</v>
      </c>
      <c r="H64" s="3">
        <v>39</v>
      </c>
      <c r="I64" s="3" t="s">
        <v>34</v>
      </c>
      <c r="J64" s="3" t="s">
        <v>181</v>
      </c>
      <c r="K64" s="4" t="s">
        <v>15</v>
      </c>
      <c r="L64" s="5" t="s">
        <v>16</v>
      </c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>
        <v>12</v>
      </c>
      <c r="B65" s="2" t="s">
        <v>182</v>
      </c>
      <c r="C65" s="133" t="s">
        <v>13</v>
      </c>
      <c r="D65" s="2">
        <v>2827</v>
      </c>
      <c r="E65" s="16" t="s">
        <v>183</v>
      </c>
      <c r="F65" s="2" t="s">
        <v>184</v>
      </c>
      <c r="G65" s="2">
        <v>2</v>
      </c>
      <c r="H65" s="3">
        <v>35</v>
      </c>
      <c r="I65" s="3">
        <v>10</v>
      </c>
      <c r="J65" s="3" t="s">
        <v>27</v>
      </c>
      <c r="K65" s="4" t="s">
        <v>15</v>
      </c>
      <c r="L65" s="5" t="s">
        <v>16</v>
      </c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>
        <v>13</v>
      </c>
      <c r="B66" s="2">
        <v>312</v>
      </c>
      <c r="C66" s="133" t="s">
        <v>22</v>
      </c>
      <c r="D66" s="2">
        <v>171849</v>
      </c>
      <c r="E66" s="16" t="s">
        <v>34</v>
      </c>
      <c r="F66" s="2" t="s">
        <v>100</v>
      </c>
      <c r="G66" s="2">
        <v>2</v>
      </c>
      <c r="H66" s="3">
        <v>66</v>
      </c>
      <c r="I66" s="8">
        <v>16.5</v>
      </c>
      <c r="J66" s="3" t="s">
        <v>14</v>
      </c>
      <c r="K66" s="4" t="s">
        <v>15</v>
      </c>
      <c r="L66" s="5" t="s">
        <v>15</v>
      </c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>
        <v>13</v>
      </c>
      <c r="B67" s="2">
        <v>214</v>
      </c>
      <c r="C67" s="133" t="s">
        <v>13</v>
      </c>
      <c r="D67" s="2">
        <v>2757</v>
      </c>
      <c r="E67" s="2" t="s">
        <v>195</v>
      </c>
      <c r="F67" s="2" t="s">
        <v>76</v>
      </c>
      <c r="G67" s="2">
        <v>2</v>
      </c>
      <c r="H67" s="3">
        <v>25</v>
      </c>
      <c r="I67" s="3">
        <v>8</v>
      </c>
      <c r="J67" s="3" t="s">
        <v>14</v>
      </c>
      <c r="K67" s="4" t="s">
        <v>15</v>
      </c>
      <c r="L67" s="5" t="s">
        <v>16</v>
      </c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>
        <v>13</v>
      </c>
      <c r="B68" s="2" t="s">
        <v>196</v>
      </c>
      <c r="C68" s="133" t="s">
        <v>13</v>
      </c>
      <c r="D68" s="2">
        <v>2846</v>
      </c>
      <c r="E68" s="166" t="s">
        <v>75</v>
      </c>
      <c r="F68" s="2" t="s">
        <v>197</v>
      </c>
      <c r="G68" s="2">
        <v>2</v>
      </c>
      <c r="H68" s="3">
        <v>35</v>
      </c>
      <c r="I68" s="8">
        <v>10</v>
      </c>
      <c r="J68" s="3" t="s">
        <v>18</v>
      </c>
      <c r="K68" s="4" t="s">
        <v>15</v>
      </c>
      <c r="L68" s="5" t="s">
        <v>16</v>
      </c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>
        <v>13</v>
      </c>
      <c r="B69" s="2" t="s">
        <v>198</v>
      </c>
      <c r="C69" s="133" t="s">
        <v>13</v>
      </c>
      <c r="D69" s="2">
        <v>2835</v>
      </c>
      <c r="E69" s="21" t="s">
        <v>153</v>
      </c>
      <c r="F69" s="2" t="s">
        <v>76</v>
      </c>
      <c r="G69" s="2">
        <v>2</v>
      </c>
      <c r="H69" s="3">
        <v>25</v>
      </c>
      <c r="I69" s="8">
        <v>8</v>
      </c>
      <c r="J69" s="3" t="s">
        <v>27</v>
      </c>
      <c r="K69" s="4" t="s">
        <v>15</v>
      </c>
      <c r="L69" s="5" t="s">
        <v>16</v>
      </c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>
        <v>13</v>
      </c>
      <c r="B70" s="2">
        <v>502</v>
      </c>
      <c r="C70" s="133" t="s">
        <v>13</v>
      </c>
      <c r="D70" s="2">
        <v>2755</v>
      </c>
      <c r="E70" s="21" t="s">
        <v>109</v>
      </c>
      <c r="F70" s="2" t="s">
        <v>76</v>
      </c>
      <c r="G70" s="2">
        <v>2</v>
      </c>
      <c r="H70" s="3">
        <v>25</v>
      </c>
      <c r="I70" s="8">
        <v>8</v>
      </c>
      <c r="J70" s="3" t="s">
        <v>39</v>
      </c>
      <c r="K70" s="4" t="s">
        <v>15</v>
      </c>
      <c r="L70" s="5" t="s">
        <v>16</v>
      </c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>
        <v>13</v>
      </c>
      <c r="B71" s="2">
        <v>321</v>
      </c>
      <c r="C71" s="133" t="s">
        <v>13</v>
      </c>
      <c r="D71" s="2">
        <v>2556</v>
      </c>
      <c r="E71" s="2" t="s">
        <v>115</v>
      </c>
      <c r="F71" s="2" t="s">
        <v>199</v>
      </c>
      <c r="G71" s="2" t="s">
        <v>200</v>
      </c>
      <c r="H71" s="3">
        <v>35</v>
      </c>
      <c r="I71" s="3">
        <v>10</v>
      </c>
      <c r="J71" s="3" t="s">
        <v>39</v>
      </c>
      <c r="K71" s="4" t="s">
        <v>15</v>
      </c>
      <c r="L71" s="5" t="s">
        <v>16</v>
      </c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>
        <v>13</v>
      </c>
      <c r="B72" s="2">
        <v>406</v>
      </c>
      <c r="C72" s="133" t="s">
        <v>13</v>
      </c>
      <c r="D72" s="2">
        <v>2758</v>
      </c>
      <c r="E72" s="2" t="s">
        <v>201</v>
      </c>
      <c r="F72" s="2" t="s">
        <v>76</v>
      </c>
      <c r="G72" s="2">
        <v>2</v>
      </c>
      <c r="H72" s="3">
        <v>25</v>
      </c>
      <c r="I72" s="3">
        <v>8</v>
      </c>
      <c r="J72" s="3" t="s">
        <v>18</v>
      </c>
      <c r="K72" s="4" t="s">
        <v>15</v>
      </c>
      <c r="L72" s="5" t="s">
        <v>16</v>
      </c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>
        <v>13</v>
      </c>
      <c r="B73" s="2">
        <v>416</v>
      </c>
      <c r="C73" s="133" t="s">
        <v>13</v>
      </c>
      <c r="D73" s="2">
        <v>2759</v>
      </c>
      <c r="E73" s="2" t="s">
        <v>201</v>
      </c>
      <c r="F73" s="2" t="s">
        <v>76</v>
      </c>
      <c r="G73" s="2">
        <v>3</v>
      </c>
      <c r="H73" s="3">
        <v>35</v>
      </c>
      <c r="I73" s="3">
        <v>10</v>
      </c>
      <c r="J73" s="3" t="s">
        <v>14</v>
      </c>
      <c r="K73" s="2" t="s">
        <v>15</v>
      </c>
      <c r="L73" s="5" t="s">
        <v>16</v>
      </c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>
        <v>13</v>
      </c>
      <c r="B74" s="2" t="s">
        <v>205</v>
      </c>
      <c r="C74" s="133" t="s">
        <v>13</v>
      </c>
      <c r="D74" s="2">
        <v>2760</v>
      </c>
      <c r="E74" s="2" t="s">
        <v>206</v>
      </c>
      <c r="F74" s="2" t="s">
        <v>379</v>
      </c>
      <c r="G74" s="2">
        <v>3</v>
      </c>
      <c r="H74" s="3">
        <v>35</v>
      </c>
      <c r="I74" s="3">
        <v>10</v>
      </c>
      <c r="J74" s="3" t="s">
        <v>19</v>
      </c>
      <c r="K74" s="2" t="s">
        <v>15</v>
      </c>
      <c r="L74" s="5" t="s">
        <v>16</v>
      </c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>
        <v>13</v>
      </c>
      <c r="B75" s="2" t="s">
        <v>202</v>
      </c>
      <c r="C75" s="133" t="s">
        <v>13</v>
      </c>
      <c r="D75" s="2">
        <v>2751</v>
      </c>
      <c r="E75" s="21" t="s">
        <v>203</v>
      </c>
      <c r="F75" s="2" t="s">
        <v>204</v>
      </c>
      <c r="G75" s="2">
        <v>2</v>
      </c>
      <c r="H75" s="3">
        <v>35</v>
      </c>
      <c r="I75" s="8">
        <v>10</v>
      </c>
      <c r="J75" s="3" t="s">
        <v>98</v>
      </c>
      <c r="K75" s="4" t="s">
        <v>15</v>
      </c>
      <c r="L75" s="5" t="s">
        <v>16</v>
      </c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>
        <v>14</v>
      </c>
      <c r="B76" s="2">
        <v>428</v>
      </c>
      <c r="C76" s="133" t="s">
        <v>13</v>
      </c>
      <c r="D76" s="2">
        <v>428</v>
      </c>
      <c r="E76" s="21" t="s">
        <v>208</v>
      </c>
      <c r="F76" s="2" t="s">
        <v>76</v>
      </c>
      <c r="G76" s="2">
        <v>2</v>
      </c>
      <c r="H76" s="3">
        <v>25</v>
      </c>
      <c r="I76" s="8">
        <v>8</v>
      </c>
      <c r="J76" s="3" t="s">
        <v>27</v>
      </c>
      <c r="K76" s="4" t="s">
        <v>15</v>
      </c>
      <c r="L76" s="5" t="s">
        <v>16</v>
      </c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>
        <v>14</v>
      </c>
      <c r="B77" s="2">
        <v>417</v>
      </c>
      <c r="C77" s="133" t="s">
        <v>17</v>
      </c>
      <c r="D77" s="2">
        <v>2599</v>
      </c>
      <c r="E77" s="21" t="s">
        <v>96</v>
      </c>
      <c r="F77" s="2" t="s">
        <v>97</v>
      </c>
      <c r="G77" s="2">
        <v>1</v>
      </c>
      <c r="H77" s="3">
        <v>69</v>
      </c>
      <c r="I77" s="8">
        <v>20.7</v>
      </c>
      <c r="J77" s="2" t="s">
        <v>27</v>
      </c>
      <c r="K77" s="4" t="s">
        <v>15</v>
      </c>
      <c r="L77" s="5" t="s">
        <v>15</v>
      </c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>
        <v>14</v>
      </c>
      <c r="B78" s="2" t="s">
        <v>207</v>
      </c>
      <c r="C78" s="133" t="s">
        <v>13</v>
      </c>
      <c r="D78" s="151">
        <v>2844</v>
      </c>
      <c r="E78" s="172" t="s">
        <v>130</v>
      </c>
      <c r="F78" s="2" t="s">
        <v>76</v>
      </c>
      <c r="G78" s="2">
        <v>2</v>
      </c>
      <c r="H78" s="3">
        <v>25</v>
      </c>
      <c r="I78" s="3">
        <v>8</v>
      </c>
      <c r="J78" s="3" t="s">
        <v>14</v>
      </c>
      <c r="K78" s="4" t="s">
        <v>15</v>
      </c>
      <c r="L78" s="5" t="s">
        <v>16</v>
      </c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>
        <v>15</v>
      </c>
      <c r="B79" s="2" t="s">
        <v>377</v>
      </c>
      <c r="C79" s="133" t="s">
        <v>13</v>
      </c>
      <c r="D79" s="2">
        <v>2768</v>
      </c>
      <c r="E79" s="21" t="s">
        <v>378</v>
      </c>
      <c r="F79" s="2" t="s">
        <v>76</v>
      </c>
      <c r="G79" s="2">
        <v>4</v>
      </c>
      <c r="H79" s="3">
        <v>55</v>
      </c>
      <c r="I79" s="8">
        <v>15</v>
      </c>
      <c r="J79" s="3" t="s">
        <v>18</v>
      </c>
      <c r="K79" s="4" t="s">
        <v>15</v>
      </c>
      <c r="L79" s="5" t="s">
        <v>16</v>
      </c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>
        <v>15</v>
      </c>
      <c r="B80" s="2" t="s">
        <v>209</v>
      </c>
      <c r="C80" s="133" t="s">
        <v>17</v>
      </c>
      <c r="D80" s="2">
        <v>2600</v>
      </c>
      <c r="E80" s="21" t="s">
        <v>121</v>
      </c>
      <c r="F80" s="2" t="s">
        <v>97</v>
      </c>
      <c r="G80" s="2">
        <v>3</v>
      </c>
      <c r="H80" s="3">
        <v>207</v>
      </c>
      <c r="I80" s="8">
        <v>62.1</v>
      </c>
      <c r="J80" s="3" t="s">
        <v>18</v>
      </c>
      <c r="K80" s="4" t="s">
        <v>15</v>
      </c>
      <c r="L80" s="5" t="s">
        <v>15</v>
      </c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>
        <v>16</v>
      </c>
      <c r="B81" s="2" t="s">
        <v>380</v>
      </c>
      <c r="C81" s="133" t="s">
        <v>13</v>
      </c>
      <c r="D81" s="2">
        <v>2765</v>
      </c>
      <c r="E81" s="21" t="s">
        <v>242</v>
      </c>
      <c r="F81" s="2" t="s">
        <v>381</v>
      </c>
      <c r="G81" s="2">
        <v>2</v>
      </c>
      <c r="H81" s="3">
        <v>35</v>
      </c>
      <c r="I81" s="8">
        <v>10</v>
      </c>
      <c r="J81" s="3" t="s">
        <v>27</v>
      </c>
      <c r="K81" s="4" t="s">
        <v>15</v>
      </c>
      <c r="L81" s="5" t="s">
        <v>16</v>
      </c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>
        <v>16</v>
      </c>
      <c r="B82" s="2">
        <v>404</v>
      </c>
      <c r="C82" s="133" t="s">
        <v>13</v>
      </c>
      <c r="D82" s="2">
        <v>2767</v>
      </c>
      <c r="E82" s="166" t="s">
        <v>376</v>
      </c>
      <c r="F82" s="2" t="s">
        <v>76</v>
      </c>
      <c r="G82" s="2">
        <v>2</v>
      </c>
      <c r="H82" s="3">
        <v>25</v>
      </c>
      <c r="I82" s="8">
        <v>8</v>
      </c>
      <c r="J82" s="3" t="s">
        <v>18</v>
      </c>
      <c r="K82" s="4" t="s">
        <v>15</v>
      </c>
      <c r="L82" s="5" t="s">
        <v>16</v>
      </c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>
        <v>16</v>
      </c>
      <c r="B83" s="2" t="s">
        <v>385</v>
      </c>
      <c r="C83" s="133" t="s">
        <v>13</v>
      </c>
      <c r="D83" s="2">
        <v>2769</v>
      </c>
      <c r="E83" s="2" t="s">
        <v>155</v>
      </c>
      <c r="F83" s="2" t="s">
        <v>383</v>
      </c>
      <c r="G83" s="2">
        <v>2</v>
      </c>
      <c r="H83" s="3">
        <v>25</v>
      </c>
      <c r="I83" s="3">
        <v>8</v>
      </c>
      <c r="J83" s="2" t="s">
        <v>39</v>
      </c>
      <c r="K83" s="4" t="s">
        <v>15</v>
      </c>
      <c r="L83" s="5" t="s">
        <v>16</v>
      </c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>
        <v>16</v>
      </c>
      <c r="B84" s="2" t="s">
        <v>210</v>
      </c>
      <c r="C84" s="133" t="s">
        <v>13</v>
      </c>
      <c r="D84" s="2">
        <v>2761</v>
      </c>
      <c r="E84" s="2" t="s">
        <v>211</v>
      </c>
      <c r="F84" s="2" t="s">
        <v>212</v>
      </c>
      <c r="G84" s="2">
        <v>2</v>
      </c>
      <c r="H84" s="3">
        <v>35</v>
      </c>
      <c r="I84" s="8">
        <v>10</v>
      </c>
      <c r="J84" s="3" t="s">
        <v>19</v>
      </c>
      <c r="K84" s="4" t="s">
        <v>15</v>
      </c>
      <c r="L84" s="5" t="s">
        <v>16</v>
      </c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>
        <v>17</v>
      </c>
      <c r="B85" s="2">
        <v>303</v>
      </c>
      <c r="C85" s="133" t="s">
        <v>13</v>
      </c>
      <c r="D85" s="2">
        <v>2766</v>
      </c>
      <c r="E85" s="2" t="s">
        <v>214</v>
      </c>
      <c r="F85" s="2" t="s">
        <v>76</v>
      </c>
      <c r="G85" s="2">
        <v>2</v>
      </c>
      <c r="H85" s="3">
        <v>25</v>
      </c>
      <c r="I85" s="8">
        <v>8</v>
      </c>
      <c r="J85" s="3" t="s">
        <v>98</v>
      </c>
      <c r="K85" s="4" t="s">
        <v>15</v>
      </c>
      <c r="L85" s="5" t="s">
        <v>16</v>
      </c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>
        <v>17</v>
      </c>
      <c r="B86" s="2" t="s">
        <v>213</v>
      </c>
      <c r="C86" s="133" t="s">
        <v>13</v>
      </c>
      <c r="D86" s="2">
        <v>2764</v>
      </c>
      <c r="E86" s="2" t="s">
        <v>99</v>
      </c>
      <c r="F86" s="2" t="s">
        <v>76</v>
      </c>
      <c r="G86" s="2">
        <v>5</v>
      </c>
      <c r="H86" s="3">
        <v>55</v>
      </c>
      <c r="I86" s="8">
        <v>15</v>
      </c>
      <c r="J86" s="3" t="s">
        <v>14</v>
      </c>
      <c r="K86" s="4" t="s">
        <v>15</v>
      </c>
      <c r="L86" s="5" t="s">
        <v>16</v>
      </c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>
        <v>18</v>
      </c>
      <c r="B87" s="2" t="s">
        <v>392</v>
      </c>
      <c r="C87" s="133" t="s">
        <v>13</v>
      </c>
      <c r="D87" s="2">
        <v>227</v>
      </c>
      <c r="E87" s="2" t="s">
        <v>393</v>
      </c>
      <c r="F87" s="2" t="s">
        <v>76</v>
      </c>
      <c r="G87" s="2">
        <v>2</v>
      </c>
      <c r="H87" s="3">
        <v>25</v>
      </c>
      <c r="I87" s="8">
        <v>8</v>
      </c>
      <c r="J87" s="3" t="s">
        <v>41</v>
      </c>
      <c r="K87" s="4" t="s">
        <v>15</v>
      </c>
      <c r="L87" s="5" t="s">
        <v>16</v>
      </c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>
        <v>18</v>
      </c>
      <c r="B88" s="2" t="s">
        <v>218</v>
      </c>
      <c r="C88" s="133" t="s">
        <v>23</v>
      </c>
      <c r="D88" s="2">
        <v>171046</v>
      </c>
      <c r="E88" s="2" t="s">
        <v>331</v>
      </c>
      <c r="F88" s="2" t="s">
        <v>76</v>
      </c>
      <c r="G88" s="2">
        <v>2</v>
      </c>
      <c r="H88" s="3">
        <v>22</v>
      </c>
      <c r="I88" s="8" t="s">
        <v>34</v>
      </c>
      <c r="J88" s="3" t="s">
        <v>14</v>
      </c>
      <c r="K88" s="4" t="s">
        <v>15</v>
      </c>
      <c r="L88" s="5" t="s">
        <v>16</v>
      </c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>
        <v>18</v>
      </c>
      <c r="B89" s="2">
        <v>414</v>
      </c>
      <c r="C89" s="133" t="s">
        <v>13</v>
      </c>
      <c r="D89" s="2">
        <v>2773</v>
      </c>
      <c r="E89" s="2" t="s">
        <v>322</v>
      </c>
      <c r="F89" s="2" t="s">
        <v>76</v>
      </c>
      <c r="G89" s="2">
        <v>2</v>
      </c>
      <c r="H89" s="3">
        <v>25</v>
      </c>
      <c r="I89" s="8">
        <v>8</v>
      </c>
      <c r="J89" s="3" t="s">
        <v>26</v>
      </c>
      <c r="K89" s="4" t="s">
        <v>15</v>
      </c>
      <c r="L89" s="5" t="s">
        <v>16</v>
      </c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>
        <v>18</v>
      </c>
      <c r="B90" s="2" t="s">
        <v>388</v>
      </c>
      <c r="C90" s="133" t="s">
        <v>13</v>
      </c>
      <c r="D90" s="2">
        <v>2771</v>
      </c>
      <c r="E90" s="21" t="s">
        <v>389</v>
      </c>
      <c r="F90" s="2" t="s">
        <v>76</v>
      </c>
      <c r="G90" s="2">
        <v>6</v>
      </c>
      <c r="H90" s="3">
        <v>55</v>
      </c>
      <c r="I90" s="8">
        <v>15</v>
      </c>
      <c r="J90" s="3" t="s">
        <v>19</v>
      </c>
      <c r="K90" s="4" t="s">
        <v>15</v>
      </c>
      <c r="L90" s="5" t="s">
        <v>16</v>
      </c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>
        <v>18</v>
      </c>
      <c r="B91" s="2" t="s">
        <v>209</v>
      </c>
      <c r="C91" s="133" t="s">
        <v>13</v>
      </c>
      <c r="D91" s="2">
        <v>2763</v>
      </c>
      <c r="E91" s="21" t="s">
        <v>178</v>
      </c>
      <c r="F91" s="2" t="s">
        <v>76</v>
      </c>
      <c r="G91" s="2">
        <v>3</v>
      </c>
      <c r="H91" s="3">
        <v>35</v>
      </c>
      <c r="I91" s="8">
        <v>10</v>
      </c>
      <c r="J91" s="3" t="s">
        <v>14</v>
      </c>
      <c r="K91" s="4" t="s">
        <v>15</v>
      </c>
      <c r="L91" s="5" t="s">
        <v>16</v>
      </c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>
        <v>18</v>
      </c>
      <c r="B92" s="2" t="s">
        <v>215</v>
      </c>
      <c r="C92" s="133" t="s">
        <v>13</v>
      </c>
      <c r="D92" s="2">
        <v>459</v>
      </c>
      <c r="E92" s="2" t="s">
        <v>216</v>
      </c>
      <c r="F92" s="2" t="s">
        <v>217</v>
      </c>
      <c r="G92" s="2">
        <v>2</v>
      </c>
      <c r="H92" s="3">
        <v>35</v>
      </c>
      <c r="I92" s="8">
        <v>10</v>
      </c>
      <c r="J92" s="3" t="s">
        <v>18</v>
      </c>
      <c r="K92" s="4" t="s">
        <v>15</v>
      </c>
      <c r="L92" s="5" t="s">
        <v>16</v>
      </c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>
        <v>18</v>
      </c>
      <c r="B93" s="2">
        <v>421</v>
      </c>
      <c r="C93" s="133" t="s">
        <v>13</v>
      </c>
      <c r="D93" s="2">
        <v>2752</v>
      </c>
      <c r="E93" s="9" t="s">
        <v>94</v>
      </c>
      <c r="F93" s="2" t="s">
        <v>76</v>
      </c>
      <c r="G93" s="2">
        <v>2</v>
      </c>
      <c r="H93" s="3">
        <v>25</v>
      </c>
      <c r="I93" s="8">
        <v>8</v>
      </c>
      <c r="J93" s="3" t="s">
        <v>98</v>
      </c>
      <c r="K93" s="4" t="s">
        <v>15</v>
      </c>
      <c r="L93" s="5" t="s">
        <v>16</v>
      </c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>
        <v>18</v>
      </c>
      <c r="B94" s="2" t="s">
        <v>391</v>
      </c>
      <c r="C94" s="133" t="s">
        <v>13</v>
      </c>
      <c r="D94" s="2">
        <v>2772</v>
      </c>
      <c r="E94" s="2" t="s">
        <v>447</v>
      </c>
      <c r="F94" s="2" t="s">
        <v>394</v>
      </c>
      <c r="G94" s="2">
        <v>2</v>
      </c>
      <c r="H94" s="3">
        <v>35</v>
      </c>
      <c r="I94" s="8">
        <v>10</v>
      </c>
      <c r="J94" s="3" t="s">
        <v>26</v>
      </c>
      <c r="K94" s="4" t="s">
        <v>15</v>
      </c>
      <c r="L94" s="5" t="s">
        <v>16</v>
      </c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>
        <v>19</v>
      </c>
      <c r="B95" s="2" t="s">
        <v>182</v>
      </c>
      <c r="C95" s="133" t="s">
        <v>13</v>
      </c>
      <c r="D95" s="2">
        <v>2828</v>
      </c>
      <c r="E95" s="2" t="s">
        <v>228</v>
      </c>
      <c r="F95" s="2" t="s">
        <v>76</v>
      </c>
      <c r="G95" s="2">
        <v>2</v>
      </c>
      <c r="H95" s="3">
        <v>25</v>
      </c>
      <c r="I95" s="8">
        <v>8</v>
      </c>
      <c r="J95" s="3" t="s">
        <v>27</v>
      </c>
      <c r="K95" s="4" t="s">
        <v>15</v>
      </c>
      <c r="L95" s="5" t="s">
        <v>16</v>
      </c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>
        <v>19</v>
      </c>
      <c r="B96" s="2" t="s">
        <v>399</v>
      </c>
      <c r="C96" s="133" t="s">
        <v>13</v>
      </c>
      <c r="D96" s="2">
        <v>2776</v>
      </c>
      <c r="E96" s="2" t="s">
        <v>400</v>
      </c>
      <c r="F96" s="2" t="s">
        <v>76</v>
      </c>
      <c r="G96" s="2">
        <v>2</v>
      </c>
      <c r="H96" s="3">
        <v>25</v>
      </c>
      <c r="I96" s="8">
        <v>8</v>
      </c>
      <c r="J96" s="3" t="s">
        <v>42</v>
      </c>
      <c r="K96" s="4" t="s">
        <v>15</v>
      </c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>
        <v>19</v>
      </c>
      <c r="B97" s="2" t="s">
        <v>229</v>
      </c>
      <c r="C97" s="133" t="s">
        <v>13</v>
      </c>
      <c r="D97" s="2">
        <v>2829</v>
      </c>
      <c r="E97" s="2" t="s">
        <v>230</v>
      </c>
      <c r="F97" s="2" t="s">
        <v>81</v>
      </c>
      <c r="G97" s="2">
        <v>2</v>
      </c>
      <c r="H97" s="3">
        <v>35</v>
      </c>
      <c r="I97" s="8">
        <v>10</v>
      </c>
      <c r="J97" s="3" t="s">
        <v>27</v>
      </c>
      <c r="K97" s="4" t="s">
        <v>15</v>
      </c>
      <c r="L97" s="5" t="s">
        <v>16</v>
      </c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>
        <v>19</v>
      </c>
      <c r="B98" s="2">
        <v>224</v>
      </c>
      <c r="C98" s="133" t="s">
        <v>13</v>
      </c>
      <c r="D98" s="2">
        <v>2778</v>
      </c>
      <c r="E98" s="2" t="s">
        <v>107</v>
      </c>
      <c r="F98" s="2" t="s">
        <v>76</v>
      </c>
      <c r="G98" s="2">
        <v>2</v>
      </c>
      <c r="H98" s="3">
        <v>25</v>
      </c>
      <c r="I98" s="8">
        <v>8</v>
      </c>
      <c r="J98" s="3" t="s">
        <v>39</v>
      </c>
      <c r="K98" s="4" t="s">
        <v>15</v>
      </c>
      <c r="L98" s="5" t="s">
        <v>16</v>
      </c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>
        <v>19</v>
      </c>
      <c r="B99" s="151" t="s">
        <v>223</v>
      </c>
      <c r="C99" s="133" t="s">
        <v>23</v>
      </c>
      <c r="D99" s="2">
        <v>168072</v>
      </c>
      <c r="E99" s="2" t="s">
        <v>189</v>
      </c>
      <c r="F99" s="2" t="s">
        <v>224</v>
      </c>
      <c r="G99" s="2">
        <v>2</v>
      </c>
      <c r="H99" s="3">
        <v>39</v>
      </c>
      <c r="I99" s="8" t="s">
        <v>34</v>
      </c>
      <c r="J99" s="3" t="s">
        <v>18</v>
      </c>
      <c r="K99" s="4" t="s">
        <v>15</v>
      </c>
      <c r="L99" s="5" t="s">
        <v>16</v>
      </c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>
        <v>19</v>
      </c>
      <c r="B100" s="2" t="s">
        <v>220</v>
      </c>
      <c r="C100" s="133" t="s">
        <v>23</v>
      </c>
      <c r="D100" s="2">
        <v>165244</v>
      </c>
      <c r="E100" s="9" t="s">
        <v>221</v>
      </c>
      <c r="F100" s="2" t="s">
        <v>222</v>
      </c>
      <c r="G100" s="2">
        <v>2</v>
      </c>
      <c r="H100" s="3">
        <v>39</v>
      </c>
      <c r="I100" s="3" t="s">
        <v>34</v>
      </c>
      <c r="J100" s="3" t="s">
        <v>132</v>
      </c>
      <c r="K100" s="4" t="s">
        <v>15</v>
      </c>
      <c r="L100" s="5" t="s">
        <v>16</v>
      </c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>
        <v>19</v>
      </c>
      <c r="B101" s="2" t="s">
        <v>401</v>
      </c>
      <c r="C101" s="133" t="s">
        <v>13</v>
      </c>
      <c r="D101" s="2">
        <v>2777</v>
      </c>
      <c r="E101" s="2" t="s">
        <v>144</v>
      </c>
      <c r="F101" s="2" t="s">
        <v>90</v>
      </c>
      <c r="G101" s="2">
        <v>2</v>
      </c>
      <c r="H101" s="3">
        <v>35</v>
      </c>
      <c r="I101" s="8">
        <v>10</v>
      </c>
      <c r="J101" s="3" t="s">
        <v>19</v>
      </c>
      <c r="K101" s="4" t="s">
        <v>15</v>
      </c>
      <c r="L101" s="5" t="s">
        <v>16</v>
      </c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>
        <v>19</v>
      </c>
      <c r="B102" s="2" t="s">
        <v>396</v>
      </c>
      <c r="C102" s="133" t="s">
        <v>13</v>
      </c>
      <c r="D102" s="2">
        <v>2775</v>
      </c>
      <c r="E102" s="2" t="s">
        <v>344</v>
      </c>
      <c r="F102" s="2" t="s">
        <v>397</v>
      </c>
      <c r="G102" s="2">
        <v>2</v>
      </c>
      <c r="H102" s="3">
        <v>35</v>
      </c>
      <c r="I102" s="3">
        <v>10</v>
      </c>
      <c r="J102" s="3" t="s">
        <v>42</v>
      </c>
      <c r="K102" s="4" t="s">
        <v>15</v>
      </c>
      <c r="L102" s="5" t="s">
        <v>16</v>
      </c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>
        <v>19</v>
      </c>
      <c r="B103" s="2">
        <v>114</v>
      </c>
      <c r="C103" s="133" t="s">
        <v>13</v>
      </c>
      <c r="D103" s="2">
        <v>2779</v>
      </c>
      <c r="E103" s="9" t="s">
        <v>402</v>
      </c>
      <c r="F103" s="2" t="s">
        <v>76</v>
      </c>
      <c r="G103" s="2">
        <v>2</v>
      </c>
      <c r="H103" s="3">
        <v>25</v>
      </c>
      <c r="I103" s="3">
        <v>8</v>
      </c>
      <c r="J103" s="3" t="s">
        <v>42</v>
      </c>
      <c r="K103" s="4" t="s">
        <v>15</v>
      </c>
      <c r="L103" s="5" t="s">
        <v>16</v>
      </c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>
        <v>19</v>
      </c>
      <c r="B104" s="2" t="s">
        <v>386</v>
      </c>
      <c r="C104" s="133" t="s">
        <v>13</v>
      </c>
      <c r="D104" s="2">
        <v>2770</v>
      </c>
      <c r="E104" s="2" t="s">
        <v>105</v>
      </c>
      <c r="F104" s="2" t="s">
        <v>106</v>
      </c>
      <c r="G104" s="2">
        <v>2</v>
      </c>
      <c r="H104" s="3">
        <v>35</v>
      </c>
      <c r="I104" s="3">
        <v>10</v>
      </c>
      <c r="J104" s="3" t="s">
        <v>26</v>
      </c>
      <c r="K104" s="4" t="s">
        <v>15</v>
      </c>
      <c r="L104" s="5" t="s">
        <v>16</v>
      </c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>
        <v>19</v>
      </c>
      <c r="B105" s="2" t="s">
        <v>225</v>
      </c>
      <c r="C105" s="133" t="s">
        <v>13</v>
      </c>
      <c r="D105" s="2">
        <v>453</v>
      </c>
      <c r="E105" s="2" t="s">
        <v>226</v>
      </c>
      <c r="F105" s="2" t="s">
        <v>227</v>
      </c>
      <c r="G105" s="2">
        <v>2</v>
      </c>
      <c r="H105" s="3">
        <v>35</v>
      </c>
      <c r="I105" s="3">
        <v>10</v>
      </c>
      <c r="J105" s="3" t="s">
        <v>132</v>
      </c>
      <c r="K105" s="4" t="s">
        <v>15</v>
      </c>
      <c r="L105" s="5" t="s">
        <v>16</v>
      </c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>
        <v>20</v>
      </c>
      <c r="B106" s="2">
        <v>313</v>
      </c>
      <c r="C106" s="133" t="s">
        <v>22</v>
      </c>
      <c r="D106" s="2">
        <v>168539</v>
      </c>
      <c r="E106" s="2" t="s">
        <v>34</v>
      </c>
      <c r="F106" s="6" t="s">
        <v>100</v>
      </c>
      <c r="G106" s="2">
        <v>2</v>
      </c>
      <c r="H106" s="3">
        <v>66</v>
      </c>
      <c r="I106" s="3">
        <v>16.5</v>
      </c>
      <c r="J106" s="3" t="s">
        <v>27</v>
      </c>
      <c r="K106" s="4" t="s">
        <v>15</v>
      </c>
      <c r="L106" s="5" t="s">
        <v>15</v>
      </c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>
        <v>20</v>
      </c>
      <c r="B107" s="2" t="s">
        <v>231</v>
      </c>
      <c r="C107" s="133" t="s">
        <v>23</v>
      </c>
      <c r="D107" s="2">
        <v>166578</v>
      </c>
      <c r="E107" s="2" t="s">
        <v>232</v>
      </c>
      <c r="F107" s="2" t="s">
        <v>233</v>
      </c>
      <c r="G107" s="2">
        <v>4</v>
      </c>
      <c r="H107" s="3">
        <v>50</v>
      </c>
      <c r="I107" s="3" t="s">
        <v>34</v>
      </c>
      <c r="J107" s="3" t="s">
        <v>181</v>
      </c>
      <c r="K107" s="4" t="s">
        <v>15</v>
      </c>
      <c r="L107" s="5" t="s">
        <v>16</v>
      </c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>
        <v>20</v>
      </c>
      <c r="B108" s="2" t="s">
        <v>404</v>
      </c>
      <c r="C108" s="133" t="s">
        <v>13</v>
      </c>
      <c r="D108" s="2">
        <v>2780</v>
      </c>
      <c r="E108" s="2" t="s">
        <v>446</v>
      </c>
      <c r="F108" s="2" t="s">
        <v>90</v>
      </c>
      <c r="G108" s="2">
        <v>1</v>
      </c>
      <c r="H108" s="3">
        <v>35</v>
      </c>
      <c r="I108" s="3">
        <v>10</v>
      </c>
      <c r="J108" s="3" t="s">
        <v>14</v>
      </c>
      <c r="K108" s="4" t="s">
        <v>15</v>
      </c>
      <c r="L108" s="5" t="s">
        <v>16</v>
      </c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>
        <v>21</v>
      </c>
      <c r="B109" s="2" t="s">
        <v>408</v>
      </c>
      <c r="C109" s="133" t="s">
        <v>13</v>
      </c>
      <c r="D109" s="2">
        <v>2785</v>
      </c>
      <c r="E109" s="2" t="s">
        <v>242</v>
      </c>
      <c r="F109" s="2" t="s">
        <v>409</v>
      </c>
      <c r="G109" s="2" t="s">
        <v>410</v>
      </c>
      <c r="H109" s="3">
        <v>55</v>
      </c>
      <c r="I109" s="3">
        <v>15</v>
      </c>
      <c r="J109" s="3" t="s">
        <v>19</v>
      </c>
      <c r="K109" s="4" t="s">
        <v>15</v>
      </c>
      <c r="L109" s="5" t="s">
        <v>16</v>
      </c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>
        <v>21</v>
      </c>
      <c r="B110" s="2">
        <v>324</v>
      </c>
      <c r="C110" s="133" t="s">
        <v>23</v>
      </c>
      <c r="D110" s="2">
        <v>173733</v>
      </c>
      <c r="E110" s="2" t="s">
        <v>107</v>
      </c>
      <c r="F110" s="2" t="s">
        <v>76</v>
      </c>
      <c r="G110" s="2">
        <v>2</v>
      </c>
      <c r="H110" s="3">
        <v>22</v>
      </c>
      <c r="I110" s="3"/>
      <c r="J110" s="3" t="s">
        <v>33</v>
      </c>
      <c r="K110" s="4" t="s">
        <v>15</v>
      </c>
      <c r="L110" s="5" t="s">
        <v>16</v>
      </c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>
        <v>21</v>
      </c>
      <c r="B111" s="2" t="s">
        <v>411</v>
      </c>
      <c r="C111" s="133" t="s">
        <v>13</v>
      </c>
      <c r="D111" s="2">
        <v>2786</v>
      </c>
      <c r="E111" s="2" t="s">
        <v>115</v>
      </c>
      <c r="F111" s="2" t="s">
        <v>76</v>
      </c>
      <c r="G111" s="2">
        <v>4</v>
      </c>
      <c r="H111" s="3">
        <v>40</v>
      </c>
      <c r="I111" s="3">
        <v>12</v>
      </c>
      <c r="J111" s="3" t="s">
        <v>19</v>
      </c>
      <c r="K111" s="4" t="s">
        <v>15</v>
      </c>
      <c r="L111" s="5" t="s">
        <v>16</v>
      </c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>
        <v>22</v>
      </c>
      <c r="B112" s="2" t="s">
        <v>414</v>
      </c>
      <c r="C112" s="133" t="s">
        <v>13</v>
      </c>
      <c r="D112" s="2">
        <v>2847</v>
      </c>
      <c r="E112" s="2" t="s">
        <v>400</v>
      </c>
      <c r="F112" s="2" t="s">
        <v>76</v>
      </c>
      <c r="G112" s="2">
        <v>2</v>
      </c>
      <c r="H112" s="3">
        <v>25</v>
      </c>
      <c r="I112" s="3">
        <v>8</v>
      </c>
      <c r="J112" s="3" t="s">
        <v>18</v>
      </c>
      <c r="K112" s="4" t="s">
        <v>15</v>
      </c>
      <c r="L112" s="5" t="s">
        <v>16</v>
      </c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>
        <v>22</v>
      </c>
      <c r="B113" s="2">
        <v>106</v>
      </c>
      <c r="C113" s="133" t="s">
        <v>13</v>
      </c>
      <c r="D113" s="2">
        <v>2782</v>
      </c>
      <c r="E113" s="2" t="s">
        <v>159</v>
      </c>
      <c r="F113" s="2" t="s">
        <v>76</v>
      </c>
      <c r="G113" s="2">
        <v>2</v>
      </c>
      <c r="H113" s="3">
        <v>25</v>
      </c>
      <c r="I113" s="3">
        <v>8</v>
      </c>
      <c r="J113" s="3" t="s">
        <v>26</v>
      </c>
      <c r="K113" s="4" t="s">
        <v>15</v>
      </c>
      <c r="L113" s="5" t="s">
        <v>16</v>
      </c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>
        <v>22</v>
      </c>
      <c r="B114" s="2">
        <v>321</v>
      </c>
      <c r="C114" s="133" t="s">
        <v>13</v>
      </c>
      <c r="D114" s="2">
        <v>2787</v>
      </c>
      <c r="E114" s="2" t="s">
        <v>413</v>
      </c>
      <c r="F114" s="2" t="s">
        <v>76</v>
      </c>
      <c r="G114" s="2">
        <v>2</v>
      </c>
      <c r="H114" s="3">
        <v>25</v>
      </c>
      <c r="I114" s="3">
        <v>8</v>
      </c>
      <c r="J114" s="3" t="s">
        <v>26</v>
      </c>
      <c r="K114" s="4" t="s">
        <v>15</v>
      </c>
      <c r="L114" s="5" t="s">
        <v>16</v>
      </c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>
        <v>22</v>
      </c>
      <c r="B115" s="2" t="s">
        <v>415</v>
      </c>
      <c r="C115" s="133" t="s">
        <v>23</v>
      </c>
      <c r="D115" s="2">
        <v>168072</v>
      </c>
      <c r="E115" s="2" t="s">
        <v>107</v>
      </c>
      <c r="F115" s="2" t="s">
        <v>76</v>
      </c>
      <c r="G115" s="2">
        <v>2</v>
      </c>
      <c r="H115" s="3">
        <v>22</v>
      </c>
      <c r="I115" s="3" t="s">
        <v>34</v>
      </c>
      <c r="J115" s="3" t="s">
        <v>18</v>
      </c>
      <c r="K115" s="4" t="s">
        <v>15</v>
      </c>
      <c r="L115" s="5" t="s">
        <v>16</v>
      </c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>
        <v>22</v>
      </c>
      <c r="B116" s="2">
        <v>308</v>
      </c>
      <c r="C116" s="133" t="s">
        <v>13</v>
      </c>
      <c r="D116" s="2">
        <v>2784</v>
      </c>
      <c r="E116" s="2" t="s">
        <v>89</v>
      </c>
      <c r="F116" s="2" t="s">
        <v>76</v>
      </c>
      <c r="G116" s="2">
        <v>1</v>
      </c>
      <c r="H116" s="3">
        <v>25</v>
      </c>
      <c r="I116" s="3">
        <v>8</v>
      </c>
      <c r="J116" s="3" t="s">
        <v>14</v>
      </c>
      <c r="K116" s="4" t="s">
        <v>15</v>
      </c>
      <c r="L116" s="5" t="s">
        <v>16</v>
      </c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>
        <v>22</v>
      </c>
      <c r="B117" s="2">
        <v>512</v>
      </c>
      <c r="C117" s="133" t="s">
        <v>13</v>
      </c>
      <c r="D117" s="2">
        <v>2791</v>
      </c>
      <c r="E117" s="2" t="s">
        <v>89</v>
      </c>
      <c r="F117" s="2" t="s">
        <v>76</v>
      </c>
      <c r="G117" s="2">
        <v>2</v>
      </c>
      <c r="H117" s="3">
        <v>25</v>
      </c>
      <c r="I117" s="3">
        <v>8</v>
      </c>
      <c r="J117" s="3" t="s">
        <v>19</v>
      </c>
      <c r="K117" s="4" t="s">
        <v>15</v>
      </c>
      <c r="L117" s="5" t="s">
        <v>16</v>
      </c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>
        <v>22</v>
      </c>
      <c r="B118" s="2" t="s">
        <v>420</v>
      </c>
      <c r="C118" s="133" t="s">
        <v>13</v>
      </c>
      <c r="D118" s="2">
        <v>2793</v>
      </c>
      <c r="E118" s="2" t="s">
        <v>110</v>
      </c>
      <c r="F118" s="2" t="s">
        <v>76</v>
      </c>
      <c r="G118" s="2">
        <v>3</v>
      </c>
      <c r="H118" s="3">
        <v>35</v>
      </c>
      <c r="I118" s="8">
        <v>10</v>
      </c>
      <c r="J118" s="3" t="s">
        <v>26</v>
      </c>
      <c r="K118" s="4" t="s">
        <v>15</v>
      </c>
      <c r="L118" s="5" t="s">
        <v>16</v>
      </c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>
        <v>23</v>
      </c>
      <c r="B119" s="2" t="s">
        <v>412</v>
      </c>
      <c r="C119" s="133" t="s">
        <v>17</v>
      </c>
      <c r="D119" s="2">
        <v>3252</v>
      </c>
      <c r="E119" s="2" t="s">
        <v>96</v>
      </c>
      <c r="F119" s="2" t="s">
        <v>97</v>
      </c>
      <c r="G119" s="2">
        <v>2</v>
      </c>
      <c r="H119" s="3">
        <v>138</v>
      </c>
      <c r="I119" s="3">
        <v>41.4</v>
      </c>
      <c r="J119" s="3" t="s">
        <v>19</v>
      </c>
      <c r="K119" s="4" t="s">
        <v>15</v>
      </c>
      <c r="L119" s="5" t="s">
        <v>15</v>
      </c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>
        <v>23</v>
      </c>
      <c r="B120" s="2">
        <v>411</v>
      </c>
      <c r="C120" s="133" t="s">
        <v>13</v>
      </c>
      <c r="D120" s="2">
        <v>2794</v>
      </c>
      <c r="E120" s="2" t="s">
        <v>115</v>
      </c>
      <c r="F120" s="2" t="s">
        <v>76</v>
      </c>
      <c r="G120" s="2">
        <v>4</v>
      </c>
      <c r="H120" s="3">
        <v>40</v>
      </c>
      <c r="I120" s="3">
        <v>12</v>
      </c>
      <c r="J120" s="3" t="s">
        <v>14</v>
      </c>
      <c r="K120" s="4" t="s">
        <v>15</v>
      </c>
      <c r="L120" s="5" t="s">
        <v>16</v>
      </c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>
        <v>23</v>
      </c>
      <c r="B121" s="2" t="s">
        <v>234</v>
      </c>
      <c r="C121" s="133" t="s">
        <v>13</v>
      </c>
      <c r="D121" s="2">
        <v>2606</v>
      </c>
      <c r="E121" s="2" t="s">
        <v>235</v>
      </c>
      <c r="F121" s="2" t="s">
        <v>236</v>
      </c>
      <c r="G121" s="2">
        <v>2</v>
      </c>
      <c r="H121" s="3">
        <v>35</v>
      </c>
      <c r="I121" s="3">
        <v>10</v>
      </c>
      <c r="J121" s="3" t="s">
        <v>132</v>
      </c>
      <c r="K121" s="4" t="s">
        <v>15</v>
      </c>
      <c r="L121" s="5" t="s">
        <v>16</v>
      </c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>
        <v>24</v>
      </c>
      <c r="B122" s="2">
        <v>429</v>
      </c>
      <c r="C122" s="133" t="s">
        <v>13</v>
      </c>
      <c r="D122" s="2">
        <v>2790</v>
      </c>
      <c r="E122" s="2" t="s">
        <v>296</v>
      </c>
      <c r="F122" s="2" t="s">
        <v>76</v>
      </c>
      <c r="G122" s="2">
        <v>2</v>
      </c>
      <c r="H122" s="3">
        <v>25</v>
      </c>
      <c r="I122" s="3">
        <v>8</v>
      </c>
      <c r="J122" s="3" t="s">
        <v>41</v>
      </c>
      <c r="K122" s="4" t="s">
        <v>15</v>
      </c>
      <c r="L122" s="5" t="s">
        <v>16</v>
      </c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>
        <v>24</v>
      </c>
      <c r="B123" s="2">
        <v>323</v>
      </c>
      <c r="C123" s="133" t="s">
        <v>13</v>
      </c>
      <c r="D123" s="2">
        <v>404</v>
      </c>
      <c r="E123" s="2" t="s">
        <v>195</v>
      </c>
      <c r="F123" s="2" t="s">
        <v>76</v>
      </c>
      <c r="G123" s="2">
        <v>2</v>
      </c>
      <c r="H123" s="3">
        <v>25</v>
      </c>
      <c r="I123" s="3">
        <v>8</v>
      </c>
      <c r="J123" s="3" t="s">
        <v>14</v>
      </c>
      <c r="K123" s="4" t="s">
        <v>15</v>
      </c>
      <c r="L123" s="5" t="s">
        <v>16</v>
      </c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>
        <v>24</v>
      </c>
      <c r="B124" s="2">
        <v>427</v>
      </c>
      <c r="C124" s="133" t="s">
        <v>13</v>
      </c>
      <c r="D124" s="2">
        <v>2798</v>
      </c>
      <c r="E124" s="2" t="s">
        <v>416</v>
      </c>
      <c r="F124" s="2" t="s">
        <v>76</v>
      </c>
      <c r="G124" s="2">
        <v>2</v>
      </c>
      <c r="H124" s="3">
        <v>25</v>
      </c>
      <c r="I124" s="3">
        <v>8</v>
      </c>
      <c r="J124" s="3" t="s">
        <v>14</v>
      </c>
      <c r="K124" s="4" t="s">
        <v>15</v>
      </c>
      <c r="L124" s="5" t="s">
        <v>16</v>
      </c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>
        <v>24</v>
      </c>
      <c r="B125" s="2" t="s">
        <v>424</v>
      </c>
      <c r="C125" s="133" t="s">
        <v>13</v>
      </c>
      <c r="D125" s="2">
        <v>2607</v>
      </c>
      <c r="E125" s="2" t="s">
        <v>107</v>
      </c>
      <c r="F125" s="2" t="s">
        <v>76</v>
      </c>
      <c r="G125" s="2">
        <v>2</v>
      </c>
      <c r="H125" s="3">
        <v>25</v>
      </c>
      <c r="I125" s="3">
        <v>8</v>
      </c>
      <c r="J125" s="2" t="s">
        <v>132</v>
      </c>
      <c r="K125" s="4" t="s">
        <v>15</v>
      </c>
      <c r="L125" s="5" t="s">
        <v>16</v>
      </c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>
        <v>24</v>
      </c>
      <c r="B126" s="2" t="s">
        <v>421</v>
      </c>
      <c r="C126" s="133" t="s">
        <v>13</v>
      </c>
      <c r="D126" s="2">
        <v>2795</v>
      </c>
      <c r="E126" s="2" t="s">
        <v>249</v>
      </c>
      <c r="F126" s="2" t="s">
        <v>250</v>
      </c>
      <c r="G126" s="2">
        <v>2</v>
      </c>
      <c r="H126" s="3">
        <v>35</v>
      </c>
      <c r="I126" s="3">
        <v>10</v>
      </c>
      <c r="J126" s="3" t="s">
        <v>14</v>
      </c>
      <c r="K126" s="4" t="s">
        <v>15</v>
      </c>
      <c r="L126" s="5" t="s">
        <v>16</v>
      </c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>
        <v>24</v>
      </c>
      <c r="B127" s="2" t="s">
        <v>425</v>
      </c>
      <c r="C127" s="133" t="s">
        <v>23</v>
      </c>
      <c r="D127" s="2">
        <v>171530</v>
      </c>
      <c r="E127" s="2" t="s">
        <v>115</v>
      </c>
      <c r="F127" s="2" t="s">
        <v>76</v>
      </c>
      <c r="G127" s="2">
        <v>2</v>
      </c>
      <c r="H127" s="3">
        <v>22</v>
      </c>
      <c r="I127" s="3" t="s">
        <v>34</v>
      </c>
      <c r="J127" s="3" t="s">
        <v>14</v>
      </c>
      <c r="K127" s="4" t="s">
        <v>15</v>
      </c>
      <c r="L127" s="5" t="s">
        <v>16</v>
      </c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>
        <v>24</v>
      </c>
      <c r="B128" s="2" t="s">
        <v>426</v>
      </c>
      <c r="C128" s="133" t="s">
        <v>13</v>
      </c>
      <c r="D128" s="2">
        <v>2800</v>
      </c>
      <c r="E128" s="2" t="s">
        <v>142</v>
      </c>
      <c r="F128" s="2" t="s">
        <v>240</v>
      </c>
      <c r="G128" s="2">
        <v>2</v>
      </c>
      <c r="H128" s="3">
        <v>35</v>
      </c>
      <c r="I128" s="3">
        <v>10</v>
      </c>
      <c r="J128" s="3" t="s">
        <v>14</v>
      </c>
      <c r="K128" s="4" t="s">
        <v>15</v>
      </c>
      <c r="L128" s="5" t="s">
        <v>16</v>
      </c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>
        <v>24</v>
      </c>
      <c r="B129" s="10">
        <v>330</v>
      </c>
      <c r="C129" s="133" t="s">
        <v>13</v>
      </c>
      <c r="D129" s="10">
        <v>403</v>
      </c>
      <c r="E129" s="10" t="s">
        <v>99</v>
      </c>
      <c r="F129" s="10" t="s">
        <v>76</v>
      </c>
      <c r="G129" s="10">
        <v>2</v>
      </c>
      <c r="H129" s="8">
        <v>25</v>
      </c>
      <c r="I129" s="8">
        <v>8</v>
      </c>
      <c r="J129" s="3" t="s">
        <v>14</v>
      </c>
      <c r="K129" s="4" t="s">
        <v>15</v>
      </c>
      <c r="L129" s="5" t="s">
        <v>16</v>
      </c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>
        <v>24</v>
      </c>
      <c r="B130" s="2">
        <v>608</v>
      </c>
      <c r="C130" s="133" t="s">
        <v>13</v>
      </c>
      <c r="D130" s="2">
        <v>402</v>
      </c>
      <c r="E130" s="2" t="s">
        <v>428</v>
      </c>
      <c r="F130" s="2" t="s">
        <v>76</v>
      </c>
      <c r="G130" s="2">
        <v>2</v>
      </c>
      <c r="H130" s="3">
        <v>25</v>
      </c>
      <c r="I130" s="3">
        <v>8</v>
      </c>
      <c r="J130" s="3" t="s">
        <v>42</v>
      </c>
      <c r="K130" s="4" t="s">
        <v>15</v>
      </c>
      <c r="L130" s="5" t="s">
        <v>16</v>
      </c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>
        <v>25</v>
      </c>
      <c r="B131" s="2">
        <v>420</v>
      </c>
      <c r="C131" s="133" t="s">
        <v>13</v>
      </c>
      <c r="D131" s="2">
        <v>410</v>
      </c>
      <c r="E131" s="2" t="s">
        <v>443</v>
      </c>
      <c r="F131" s="2" t="s">
        <v>76</v>
      </c>
      <c r="G131" s="2">
        <v>2</v>
      </c>
      <c r="H131" s="3">
        <v>25</v>
      </c>
      <c r="I131" s="3">
        <v>8</v>
      </c>
      <c r="J131" s="3" t="s">
        <v>14</v>
      </c>
      <c r="K131" s="4" t="s">
        <v>15</v>
      </c>
      <c r="L131" s="5" t="s">
        <v>16</v>
      </c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>
        <v>25</v>
      </c>
      <c r="B132" s="2">
        <v>230</v>
      </c>
      <c r="C132" s="133" t="s">
        <v>13</v>
      </c>
      <c r="D132" s="2">
        <v>407</v>
      </c>
      <c r="E132" s="2" t="s">
        <v>444</v>
      </c>
      <c r="F132" s="2" t="s">
        <v>76</v>
      </c>
      <c r="G132" s="2">
        <v>2</v>
      </c>
      <c r="H132" s="3">
        <v>25</v>
      </c>
      <c r="I132" s="3">
        <v>8</v>
      </c>
      <c r="J132" s="3" t="s">
        <v>14</v>
      </c>
      <c r="K132" s="4" t="s">
        <v>15</v>
      </c>
      <c r="L132" s="5" t="s">
        <v>16</v>
      </c>
      <c r="M132" s="17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>
        <v>25</v>
      </c>
      <c r="B133" s="2">
        <v>504</v>
      </c>
      <c r="C133" s="133" t="s">
        <v>13</v>
      </c>
      <c r="D133" s="2">
        <v>409</v>
      </c>
      <c r="E133" s="2" t="s">
        <v>111</v>
      </c>
      <c r="F133" s="2" t="s">
        <v>76</v>
      </c>
      <c r="G133" s="2">
        <v>1</v>
      </c>
      <c r="H133" s="3">
        <v>25</v>
      </c>
      <c r="I133" s="3">
        <v>8</v>
      </c>
      <c r="J133" s="3" t="s">
        <v>14</v>
      </c>
      <c r="K133" s="4" t="s">
        <v>15</v>
      </c>
      <c r="L133" s="5" t="s">
        <v>16</v>
      </c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>
        <v>25</v>
      </c>
      <c r="B134" s="2">
        <v>312</v>
      </c>
      <c r="C134" s="133" t="s">
        <v>13</v>
      </c>
      <c r="D134" s="2">
        <v>406</v>
      </c>
      <c r="E134" s="2" t="s">
        <v>429</v>
      </c>
      <c r="F134" s="2" t="s">
        <v>76</v>
      </c>
      <c r="G134" s="2">
        <v>2</v>
      </c>
      <c r="H134" s="3">
        <v>25</v>
      </c>
      <c r="I134" s="3">
        <v>8</v>
      </c>
      <c r="J134" s="3" t="s">
        <v>27</v>
      </c>
      <c r="K134" s="4" t="s">
        <v>15</v>
      </c>
      <c r="L134" s="5" t="s">
        <v>16</v>
      </c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>
        <v>25</v>
      </c>
      <c r="B135" s="2">
        <v>211</v>
      </c>
      <c r="C135" s="133" t="s">
        <v>13</v>
      </c>
      <c r="D135" s="2">
        <v>408</v>
      </c>
      <c r="E135" s="2" t="s">
        <v>153</v>
      </c>
      <c r="F135" s="2" t="s">
        <v>78</v>
      </c>
      <c r="G135" s="2">
        <v>2</v>
      </c>
      <c r="H135" s="3">
        <v>25</v>
      </c>
      <c r="I135" s="3">
        <v>8</v>
      </c>
      <c r="J135" s="3" t="s">
        <v>14</v>
      </c>
      <c r="K135" s="4" t="s">
        <v>15</v>
      </c>
      <c r="L135" s="5" t="s">
        <v>16</v>
      </c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>
        <v>25</v>
      </c>
      <c r="B136" s="2">
        <v>326</v>
      </c>
      <c r="C136" s="133" t="s">
        <v>13</v>
      </c>
      <c r="D136" s="2">
        <v>405</v>
      </c>
      <c r="E136" s="2" t="s">
        <v>121</v>
      </c>
      <c r="F136" s="2" t="s">
        <v>76</v>
      </c>
      <c r="G136" s="2">
        <v>1</v>
      </c>
      <c r="H136" s="3">
        <v>25</v>
      </c>
      <c r="I136" s="3">
        <v>8</v>
      </c>
      <c r="J136" s="3" t="s">
        <v>27</v>
      </c>
      <c r="K136" s="4" t="s">
        <v>15</v>
      </c>
      <c r="L136" s="5" t="s">
        <v>16</v>
      </c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>
        <v>25</v>
      </c>
      <c r="B137" s="2" t="s">
        <v>427</v>
      </c>
      <c r="C137" s="133" t="s">
        <v>13</v>
      </c>
      <c r="D137" s="2">
        <v>401</v>
      </c>
      <c r="E137" s="2" t="s">
        <v>281</v>
      </c>
      <c r="F137" s="2" t="s">
        <v>282</v>
      </c>
      <c r="G137" s="2">
        <v>2</v>
      </c>
      <c r="H137" s="3">
        <v>35</v>
      </c>
      <c r="I137" s="3">
        <v>10</v>
      </c>
      <c r="J137" s="3" t="s">
        <v>14</v>
      </c>
      <c r="K137" s="4" t="s">
        <v>15</v>
      </c>
      <c r="L137" s="5" t="s">
        <v>16</v>
      </c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>
        <v>25</v>
      </c>
      <c r="B138" s="2">
        <v>510</v>
      </c>
      <c r="C138" s="133" t="s">
        <v>13</v>
      </c>
      <c r="D138" s="2">
        <v>2789</v>
      </c>
      <c r="E138" s="2" t="s">
        <v>77</v>
      </c>
      <c r="F138" s="2" t="s">
        <v>76</v>
      </c>
      <c r="G138" s="2">
        <v>2</v>
      </c>
      <c r="H138" s="3">
        <v>25</v>
      </c>
      <c r="I138" s="3">
        <v>8</v>
      </c>
      <c r="J138" s="3" t="s">
        <v>26</v>
      </c>
      <c r="K138" s="4" t="s">
        <v>15</v>
      </c>
      <c r="L138" s="5" t="s">
        <v>16</v>
      </c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>
        <v>25</v>
      </c>
      <c r="B139" s="2" t="s">
        <v>422</v>
      </c>
      <c r="C139" s="133" t="s">
        <v>13</v>
      </c>
      <c r="D139" s="2">
        <v>2796</v>
      </c>
      <c r="E139" s="2" t="s">
        <v>442</v>
      </c>
      <c r="F139" s="2" t="s">
        <v>441</v>
      </c>
      <c r="G139" s="2">
        <v>2</v>
      </c>
      <c r="H139" s="3">
        <v>35</v>
      </c>
      <c r="I139" s="3">
        <v>10</v>
      </c>
      <c r="J139" s="3" t="s">
        <v>14</v>
      </c>
      <c r="K139" s="4" t="s">
        <v>15</v>
      </c>
      <c r="L139" s="5" t="s">
        <v>16</v>
      </c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>
        <v>25</v>
      </c>
      <c r="B140" s="2">
        <v>208</v>
      </c>
      <c r="C140" s="133" t="s">
        <v>13</v>
      </c>
      <c r="D140" s="2">
        <v>416</v>
      </c>
      <c r="E140" s="2" t="s">
        <v>371</v>
      </c>
      <c r="F140" s="2" t="s">
        <v>76</v>
      </c>
      <c r="G140" s="2">
        <v>1</v>
      </c>
      <c r="H140" s="3">
        <v>25</v>
      </c>
      <c r="I140" s="3">
        <v>8</v>
      </c>
      <c r="J140" s="3" t="s">
        <v>39</v>
      </c>
      <c r="K140" s="4" t="s">
        <v>15</v>
      </c>
      <c r="L140" s="5" t="s">
        <v>16</v>
      </c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>
        <v>25</v>
      </c>
      <c r="B141" s="2" t="s">
        <v>432</v>
      </c>
      <c r="C141" s="133" t="s">
        <v>13</v>
      </c>
      <c r="D141" s="2">
        <v>415</v>
      </c>
      <c r="E141" s="2" t="s">
        <v>134</v>
      </c>
      <c r="F141" s="2" t="s">
        <v>135</v>
      </c>
      <c r="G141" s="2">
        <v>2</v>
      </c>
      <c r="H141" s="3">
        <v>35</v>
      </c>
      <c r="I141" s="3">
        <v>10</v>
      </c>
      <c r="J141" s="3" t="s">
        <v>19</v>
      </c>
      <c r="K141" s="4" t="s">
        <v>15</v>
      </c>
      <c r="L141" s="5" t="s">
        <v>16</v>
      </c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>
        <v>26</v>
      </c>
      <c r="B142" s="2">
        <v>214</v>
      </c>
      <c r="C142" s="133" t="s">
        <v>13</v>
      </c>
      <c r="D142" s="2">
        <v>418</v>
      </c>
      <c r="E142" s="2" t="s">
        <v>433</v>
      </c>
      <c r="F142" s="2" t="s">
        <v>434</v>
      </c>
      <c r="G142" s="2">
        <v>2</v>
      </c>
      <c r="H142" s="3">
        <v>25</v>
      </c>
      <c r="I142" s="3">
        <v>8</v>
      </c>
      <c r="J142" s="3" t="s">
        <v>42</v>
      </c>
      <c r="K142" s="4" t="s">
        <v>15</v>
      </c>
      <c r="L142" s="5" t="s">
        <v>16</v>
      </c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>
        <v>26</v>
      </c>
      <c r="B143" s="2" t="s">
        <v>241</v>
      </c>
      <c r="C143" s="133" t="s">
        <v>23</v>
      </c>
      <c r="D143" s="2">
        <v>159254</v>
      </c>
      <c r="E143" s="2" t="s">
        <v>242</v>
      </c>
      <c r="F143" s="2" t="s">
        <v>243</v>
      </c>
      <c r="G143" s="2">
        <v>1</v>
      </c>
      <c r="H143" s="3">
        <v>39</v>
      </c>
      <c r="I143" s="3" t="s">
        <v>34</v>
      </c>
      <c r="J143" s="3" t="s">
        <v>244</v>
      </c>
      <c r="K143" s="4" t="s">
        <v>15</v>
      </c>
      <c r="L143" s="5" t="s">
        <v>16</v>
      </c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>
        <v>26</v>
      </c>
      <c r="B144" s="2" t="s">
        <v>239</v>
      </c>
      <c r="C144" s="133" t="s">
        <v>23</v>
      </c>
      <c r="D144" s="2">
        <v>162284</v>
      </c>
      <c r="E144" s="2" t="s">
        <v>249</v>
      </c>
      <c r="F144" s="2" t="s">
        <v>418</v>
      </c>
      <c r="G144" s="2">
        <v>2</v>
      </c>
      <c r="H144" s="3">
        <v>39</v>
      </c>
      <c r="I144" s="3" t="s">
        <v>34</v>
      </c>
      <c r="J144" s="3" t="s">
        <v>18</v>
      </c>
      <c r="K144" s="4" t="s">
        <v>15</v>
      </c>
      <c r="L144" s="5" t="s">
        <v>16</v>
      </c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>
        <v>26</v>
      </c>
      <c r="B145" s="2" t="s">
        <v>248</v>
      </c>
      <c r="C145" s="133" t="s">
        <v>23</v>
      </c>
      <c r="D145" s="2">
        <v>172657</v>
      </c>
      <c r="E145" s="2" t="s">
        <v>249</v>
      </c>
      <c r="F145" s="2" t="s">
        <v>250</v>
      </c>
      <c r="G145" s="2">
        <v>2</v>
      </c>
      <c r="H145" s="3">
        <v>39</v>
      </c>
      <c r="I145" s="3" t="s">
        <v>34</v>
      </c>
      <c r="J145" s="3" t="s">
        <v>132</v>
      </c>
      <c r="K145" s="4" t="s">
        <v>15</v>
      </c>
      <c r="L145" s="5" t="s">
        <v>16</v>
      </c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>
        <v>26</v>
      </c>
      <c r="B146" s="2" t="s">
        <v>247</v>
      </c>
      <c r="C146" s="133" t="s">
        <v>13</v>
      </c>
      <c r="D146" s="2">
        <v>668</v>
      </c>
      <c r="E146" s="2" t="s">
        <v>115</v>
      </c>
      <c r="F146" s="2" t="s">
        <v>246</v>
      </c>
      <c r="G146" s="2">
        <v>2</v>
      </c>
      <c r="H146" s="3">
        <v>35</v>
      </c>
      <c r="I146" s="3">
        <v>10</v>
      </c>
      <c r="J146" s="3" t="s">
        <v>36</v>
      </c>
      <c r="K146" s="4" t="s">
        <v>15</v>
      </c>
      <c r="L146" s="5" t="s">
        <v>16</v>
      </c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>
        <v>26</v>
      </c>
      <c r="B147" s="2" t="s">
        <v>245</v>
      </c>
      <c r="C147" s="133" t="s">
        <v>23</v>
      </c>
      <c r="D147" s="2">
        <v>158956</v>
      </c>
      <c r="E147" s="2" t="s">
        <v>115</v>
      </c>
      <c r="F147" s="2" t="s">
        <v>246</v>
      </c>
      <c r="G147" s="2">
        <v>2</v>
      </c>
      <c r="H147" s="3">
        <v>39</v>
      </c>
      <c r="I147" s="3" t="s">
        <v>34</v>
      </c>
      <c r="J147" s="3" t="s">
        <v>14</v>
      </c>
      <c r="K147" s="4" t="s">
        <v>15</v>
      </c>
      <c r="L147" s="5" t="s">
        <v>16</v>
      </c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>
        <v>26</v>
      </c>
      <c r="B148" s="2">
        <v>417</v>
      </c>
      <c r="C148" s="133" t="s">
        <v>13</v>
      </c>
      <c r="D148" s="2">
        <v>412</v>
      </c>
      <c r="E148" s="2" t="s">
        <v>91</v>
      </c>
      <c r="F148" s="2" t="s">
        <v>76</v>
      </c>
      <c r="G148" s="2">
        <v>2</v>
      </c>
      <c r="H148" s="3">
        <v>25</v>
      </c>
      <c r="I148" s="3">
        <v>8</v>
      </c>
      <c r="J148" s="3" t="s">
        <v>39</v>
      </c>
      <c r="K148" s="4" t="s">
        <v>15</v>
      </c>
      <c r="L148" s="5" t="s">
        <v>16</v>
      </c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>
        <v>26</v>
      </c>
      <c r="B149" s="2" t="s">
        <v>423</v>
      </c>
      <c r="C149" s="133" t="s">
        <v>13</v>
      </c>
      <c r="D149" s="2">
        <v>2797</v>
      </c>
      <c r="E149" s="2" t="s">
        <v>144</v>
      </c>
      <c r="F149" s="2" t="s">
        <v>90</v>
      </c>
      <c r="G149" s="2">
        <v>2</v>
      </c>
      <c r="H149" s="3">
        <v>35</v>
      </c>
      <c r="I149" s="3">
        <v>10</v>
      </c>
      <c r="J149" s="3" t="s">
        <v>14</v>
      </c>
      <c r="K149" s="4" t="s">
        <v>15</v>
      </c>
      <c r="L149" s="5" t="s">
        <v>16</v>
      </c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>
        <v>26</v>
      </c>
      <c r="B150" s="2" t="s">
        <v>435</v>
      </c>
      <c r="C150" s="133" t="s">
        <v>24</v>
      </c>
      <c r="D150" s="2" t="s">
        <v>437</v>
      </c>
      <c r="E150" s="2" t="s">
        <v>436</v>
      </c>
      <c r="F150" s="2" t="s">
        <v>456</v>
      </c>
      <c r="G150" s="2">
        <v>6</v>
      </c>
      <c r="H150" s="3">
        <v>142.5</v>
      </c>
      <c r="I150" s="3">
        <v>21.37</v>
      </c>
      <c r="J150" s="3" t="s">
        <v>19</v>
      </c>
      <c r="K150" s="4" t="s">
        <v>15</v>
      </c>
      <c r="L150" s="5" t="s">
        <v>15</v>
      </c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>
        <v>26</v>
      </c>
      <c r="B151" s="2" t="s">
        <v>237</v>
      </c>
      <c r="C151" s="133" t="s">
        <v>13</v>
      </c>
      <c r="D151" s="2">
        <v>668</v>
      </c>
      <c r="E151" s="9" t="s">
        <v>216</v>
      </c>
      <c r="F151" s="2" t="s">
        <v>324</v>
      </c>
      <c r="G151" s="2">
        <v>2</v>
      </c>
      <c r="H151" s="3">
        <v>35</v>
      </c>
      <c r="I151" s="3">
        <v>10</v>
      </c>
      <c r="J151" s="3" t="s">
        <v>132</v>
      </c>
      <c r="K151" s="4" t="s">
        <v>15</v>
      </c>
      <c r="L151" s="5" t="s">
        <v>16</v>
      </c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>
        <v>26</v>
      </c>
      <c r="B152" s="2">
        <v>507</v>
      </c>
      <c r="C152" s="133" t="s">
        <v>13</v>
      </c>
      <c r="D152" s="2">
        <v>411</v>
      </c>
      <c r="E152" s="2" t="s">
        <v>430</v>
      </c>
      <c r="F152" s="2" t="s">
        <v>76</v>
      </c>
      <c r="G152" s="2">
        <v>2</v>
      </c>
      <c r="H152" s="3">
        <v>25</v>
      </c>
      <c r="I152" s="3">
        <v>8</v>
      </c>
      <c r="J152" s="3" t="s">
        <v>39</v>
      </c>
      <c r="K152" s="4" t="s">
        <v>15</v>
      </c>
      <c r="L152" s="5" t="s">
        <v>16</v>
      </c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>
        <v>26</v>
      </c>
      <c r="B153" s="2">
        <v>105</v>
      </c>
      <c r="C153" s="133" t="s">
        <v>13</v>
      </c>
      <c r="D153" s="2">
        <v>413</v>
      </c>
      <c r="E153" s="2" t="s">
        <v>166</v>
      </c>
      <c r="F153" s="2" t="s">
        <v>76</v>
      </c>
      <c r="G153" s="2">
        <v>2</v>
      </c>
      <c r="H153" s="3">
        <v>25</v>
      </c>
      <c r="I153" s="3">
        <v>8</v>
      </c>
      <c r="J153" s="3" t="s">
        <v>39</v>
      </c>
      <c r="K153" s="4" t="s">
        <v>15</v>
      </c>
      <c r="L153" s="5" t="s">
        <v>16</v>
      </c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>
        <v>27</v>
      </c>
      <c r="B154" s="2">
        <v>302</v>
      </c>
      <c r="C154" s="133" t="s">
        <v>22</v>
      </c>
      <c r="D154" s="2">
        <v>157133</v>
      </c>
      <c r="E154" s="2" t="s">
        <v>34</v>
      </c>
      <c r="F154" s="2" t="s">
        <v>194</v>
      </c>
      <c r="G154" s="2">
        <v>2</v>
      </c>
      <c r="H154" s="3">
        <v>72</v>
      </c>
      <c r="I154" s="3">
        <v>18</v>
      </c>
      <c r="J154" s="3" t="s">
        <v>26</v>
      </c>
      <c r="K154" s="4" t="s">
        <v>15</v>
      </c>
      <c r="L154" s="5" t="s">
        <v>15</v>
      </c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>
        <v>27</v>
      </c>
      <c r="B155" s="2">
        <v>211</v>
      </c>
      <c r="C155" s="133" t="s">
        <v>13</v>
      </c>
      <c r="D155" s="2">
        <v>417</v>
      </c>
      <c r="E155" s="2" t="s">
        <v>126</v>
      </c>
      <c r="F155" s="2" t="s">
        <v>76</v>
      </c>
      <c r="G155" s="2">
        <v>2</v>
      </c>
      <c r="H155" s="3">
        <v>25</v>
      </c>
      <c r="I155" s="3">
        <v>8</v>
      </c>
      <c r="J155" s="3" t="s">
        <v>27</v>
      </c>
      <c r="K155" s="4" t="s">
        <v>15</v>
      </c>
      <c r="L155" s="5" t="s">
        <v>16</v>
      </c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>
        <v>27</v>
      </c>
      <c r="B156" s="2">
        <v>403</v>
      </c>
      <c r="C156" s="133" t="s">
        <v>13</v>
      </c>
      <c r="D156" s="2">
        <v>419</v>
      </c>
      <c r="E156" s="2" t="s">
        <v>127</v>
      </c>
      <c r="F156" s="2" t="s">
        <v>76</v>
      </c>
      <c r="G156" s="2">
        <v>2</v>
      </c>
      <c r="H156" s="3">
        <v>25</v>
      </c>
      <c r="I156" s="3">
        <v>8</v>
      </c>
      <c r="J156" s="3" t="s">
        <v>19</v>
      </c>
      <c r="K156" s="4" t="s">
        <v>15</v>
      </c>
      <c r="L156" s="5" t="s">
        <v>16</v>
      </c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>
        <v>28</v>
      </c>
      <c r="B157" s="2">
        <v>329</v>
      </c>
      <c r="C157" s="133" t="s">
        <v>13</v>
      </c>
      <c r="D157" s="2">
        <v>421</v>
      </c>
      <c r="E157" s="2" t="s">
        <v>153</v>
      </c>
      <c r="F157" s="2" t="s">
        <v>76</v>
      </c>
      <c r="G157" s="2">
        <v>2</v>
      </c>
      <c r="H157" s="3">
        <v>25</v>
      </c>
      <c r="I157" s="3">
        <v>8</v>
      </c>
      <c r="J157" s="3" t="s">
        <v>26</v>
      </c>
      <c r="K157" s="4" t="s">
        <v>15</v>
      </c>
      <c r="L157" s="5" t="s">
        <v>16</v>
      </c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>
        <v>28</v>
      </c>
      <c r="B158" s="2">
        <v>304</v>
      </c>
      <c r="C158" s="133" t="s">
        <v>13</v>
      </c>
      <c r="D158" s="2">
        <v>420</v>
      </c>
      <c r="E158" s="2" t="s">
        <v>121</v>
      </c>
      <c r="F158" s="2" t="s">
        <v>76</v>
      </c>
      <c r="G158" s="2">
        <v>3</v>
      </c>
      <c r="H158" s="3">
        <v>40</v>
      </c>
      <c r="I158" s="3">
        <v>12</v>
      </c>
      <c r="J158" s="3" t="s">
        <v>14</v>
      </c>
      <c r="K158" s="4" t="s">
        <v>15</v>
      </c>
      <c r="L158" s="5" t="s">
        <v>16</v>
      </c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>
        <v>28</v>
      </c>
      <c r="B159" s="2" t="s">
        <v>431</v>
      </c>
      <c r="C159" s="133" t="s">
        <v>13</v>
      </c>
      <c r="D159" s="2">
        <v>414</v>
      </c>
      <c r="E159" s="2" t="s">
        <v>102</v>
      </c>
      <c r="F159" s="2" t="s">
        <v>187</v>
      </c>
      <c r="G159" s="2">
        <v>2</v>
      </c>
      <c r="H159" s="3">
        <v>35</v>
      </c>
      <c r="I159" s="3">
        <v>10</v>
      </c>
      <c r="J159" s="3" t="s">
        <v>19</v>
      </c>
      <c r="K159" s="4" t="s">
        <v>15</v>
      </c>
      <c r="L159" s="5" t="s">
        <v>16</v>
      </c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>
        <v>28</v>
      </c>
      <c r="B160" s="2">
        <v>529</v>
      </c>
      <c r="C160" s="133" t="s">
        <v>13</v>
      </c>
      <c r="D160" s="2">
        <v>422</v>
      </c>
      <c r="E160" s="2" t="s">
        <v>445</v>
      </c>
      <c r="F160" s="2" t="s">
        <v>76</v>
      </c>
      <c r="G160" s="2">
        <v>2</v>
      </c>
      <c r="H160" s="3">
        <v>25</v>
      </c>
      <c r="I160" s="3">
        <v>8</v>
      </c>
      <c r="J160" s="3" t="s">
        <v>14</v>
      </c>
      <c r="K160" s="4" t="s">
        <v>15</v>
      </c>
      <c r="L160" s="5" t="s">
        <v>16</v>
      </c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>
        <v>28</v>
      </c>
      <c r="B161" s="2" t="s">
        <v>438</v>
      </c>
      <c r="C161" s="133" t="s">
        <v>13</v>
      </c>
      <c r="D161" s="2">
        <v>2799</v>
      </c>
      <c r="E161" s="2" t="s">
        <v>94</v>
      </c>
      <c r="F161" s="2" t="s">
        <v>76</v>
      </c>
      <c r="G161" s="2">
        <v>2</v>
      </c>
      <c r="H161" s="3">
        <v>25</v>
      </c>
      <c r="I161" s="3">
        <v>8</v>
      </c>
      <c r="J161" s="3" t="s">
        <v>14</v>
      </c>
      <c r="K161" s="4" t="s">
        <v>15</v>
      </c>
      <c r="L161" s="5" t="s">
        <v>16</v>
      </c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>
        <v>29</v>
      </c>
      <c r="B162" s="2" t="s">
        <v>251</v>
      </c>
      <c r="C162" s="133" t="s">
        <v>23</v>
      </c>
      <c r="D162" s="2">
        <v>170336</v>
      </c>
      <c r="E162" s="2" t="s">
        <v>252</v>
      </c>
      <c r="F162" s="2" t="s">
        <v>253</v>
      </c>
      <c r="G162" s="2">
        <v>4</v>
      </c>
      <c r="H162" s="3">
        <v>50</v>
      </c>
      <c r="I162" s="3" t="s">
        <v>34</v>
      </c>
      <c r="J162" s="3" t="s">
        <v>36</v>
      </c>
      <c r="K162" s="4" t="s">
        <v>15</v>
      </c>
      <c r="L162" s="5" t="s">
        <v>16</v>
      </c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>
        <v>29</v>
      </c>
      <c r="B163" s="2">
        <v>109</v>
      </c>
      <c r="C163" s="133" t="s">
        <v>13</v>
      </c>
      <c r="D163" s="2">
        <v>424</v>
      </c>
      <c r="E163" s="2" t="s">
        <v>91</v>
      </c>
      <c r="F163" s="2" t="s">
        <v>76</v>
      </c>
      <c r="G163" s="2">
        <v>2</v>
      </c>
      <c r="H163" s="3">
        <v>25</v>
      </c>
      <c r="I163" s="3">
        <v>8</v>
      </c>
      <c r="J163" s="3" t="s">
        <v>26</v>
      </c>
      <c r="K163" s="4" t="s">
        <v>15</v>
      </c>
      <c r="L163" s="5" t="s">
        <v>16</v>
      </c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>
        <v>30</v>
      </c>
      <c r="B164" s="2">
        <v>214</v>
      </c>
      <c r="C164" s="133" t="s">
        <v>13</v>
      </c>
      <c r="D164" s="2">
        <v>425</v>
      </c>
      <c r="E164" s="2" t="s">
        <v>413</v>
      </c>
      <c r="F164" s="2" t="s">
        <v>455</v>
      </c>
      <c r="G164" s="2">
        <v>2</v>
      </c>
      <c r="H164" s="3">
        <v>25</v>
      </c>
      <c r="I164" s="3">
        <v>8</v>
      </c>
      <c r="J164" s="3" t="s">
        <v>14</v>
      </c>
      <c r="K164" s="4" t="s">
        <v>15</v>
      </c>
      <c r="L164" s="5" t="s">
        <v>16</v>
      </c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>
        <v>30</v>
      </c>
      <c r="B165" s="2" t="s">
        <v>254</v>
      </c>
      <c r="C165" s="133" t="s">
        <v>23</v>
      </c>
      <c r="D165" s="2">
        <v>170136</v>
      </c>
      <c r="E165" s="2" t="s">
        <v>249</v>
      </c>
      <c r="F165" s="2" t="s">
        <v>255</v>
      </c>
      <c r="G165" s="2">
        <v>2</v>
      </c>
      <c r="H165" s="3">
        <v>39</v>
      </c>
      <c r="I165" s="3" t="s">
        <v>34</v>
      </c>
      <c r="J165" s="3" t="s">
        <v>14</v>
      </c>
      <c r="K165" s="4" t="s">
        <v>15</v>
      </c>
      <c r="L165" s="5" t="s">
        <v>16</v>
      </c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>
        <v>31</v>
      </c>
      <c r="B166" s="2" t="s">
        <v>256</v>
      </c>
      <c r="C166" s="133" t="s">
        <v>13</v>
      </c>
      <c r="D166" s="2">
        <v>715</v>
      </c>
      <c r="E166" s="9" t="s">
        <v>121</v>
      </c>
      <c r="F166" s="2" t="s">
        <v>81</v>
      </c>
      <c r="G166" s="2">
        <v>2</v>
      </c>
      <c r="H166" s="3">
        <v>35</v>
      </c>
      <c r="I166" s="3">
        <v>10</v>
      </c>
      <c r="J166" s="3" t="s">
        <v>18</v>
      </c>
      <c r="K166" s="4" t="s">
        <v>15</v>
      </c>
      <c r="L166" s="5" t="s">
        <v>16</v>
      </c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ht="15.75" thickBot="1" x14ac:dyDescent="0.3">
      <c r="A197" s="11"/>
      <c r="B197" s="12"/>
      <c r="C197" s="134"/>
      <c r="D197" s="12"/>
      <c r="E197" s="12"/>
      <c r="F197" s="12"/>
      <c r="G197" s="12"/>
      <c r="H197" s="13"/>
      <c r="I197" s="13"/>
      <c r="J197" s="13"/>
      <c r="K197" s="12"/>
      <c r="L197" s="14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4:55" x14ac:dyDescent="0.25">
      <c r="D369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4:55" x14ac:dyDescent="0.25">
      <c r="D370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4:55" x14ac:dyDescent="0.25">
      <c r="D371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4:55" x14ac:dyDescent="0.25">
      <c r="D372"/>
    </row>
    <row r="373" spans="4:55" x14ac:dyDescent="0.25">
      <c r="D373"/>
    </row>
    <row r="374" spans="4:55" x14ac:dyDescent="0.25">
      <c r="D374"/>
    </row>
    <row r="375" spans="4:55" x14ac:dyDescent="0.25">
      <c r="D375"/>
    </row>
    <row r="376" spans="4:55" x14ac:dyDescent="0.25">
      <c r="D376"/>
    </row>
    <row r="377" spans="4:55" x14ac:dyDescent="0.25">
      <c r="D377"/>
    </row>
    <row r="378" spans="4:55" x14ac:dyDescent="0.25">
      <c r="D378"/>
    </row>
    <row r="379" spans="4:55" x14ac:dyDescent="0.25">
      <c r="D379"/>
    </row>
    <row r="380" spans="4:55" x14ac:dyDescent="0.25">
      <c r="D380"/>
    </row>
    <row r="381" spans="4:55" x14ac:dyDescent="0.25">
      <c r="D381"/>
    </row>
    <row r="382" spans="4:55" x14ac:dyDescent="0.25">
      <c r="D382"/>
    </row>
    <row r="383" spans="4:55" x14ac:dyDescent="0.25">
      <c r="D383"/>
    </row>
    <row r="384" spans="4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</sheetData>
  <sheetProtection sheet="1" formatCells="0" selectLockedCells="1" sort="0" autoFilter="0" pivotTables="0"/>
  <autoFilter ref="A1:L166" xr:uid="{33F7B5EE-3B25-45C0-9521-5CD77B61364E}">
    <sortState xmlns:xlrd2="http://schemas.microsoft.com/office/spreadsheetml/2017/richdata2" ref="A2:L166">
      <sortCondition ref="A1:A165"/>
    </sortState>
  </autoFilter>
  <mergeCells count="23">
    <mergeCell ref="N53:V54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  <mergeCell ref="Q47:R47"/>
    <mergeCell ref="N51:O51"/>
    <mergeCell ref="N30:O30"/>
    <mergeCell ref="N32:R32"/>
    <mergeCell ref="S32:V32"/>
    <mergeCell ref="N33:P33"/>
    <mergeCell ref="N41:O41"/>
    <mergeCell ref="N42:P42"/>
  </mergeCells>
  <conditionalFormatting sqref="A2:L197">
    <cfRule type="expression" dxfId="83" priority="3">
      <formula>$C2="Outra"</formula>
    </cfRule>
    <cfRule type="expression" dxfId="82" priority="4">
      <formula>$C2="Website"</formula>
    </cfRule>
    <cfRule type="expression" dxfId="81" priority="5">
      <formula>$C2="CitySightSeeing"</formula>
    </cfRule>
    <cfRule type="expression" dxfId="80" priority="6">
      <formula>$C2="Where To"</formula>
    </cfRule>
  </conditionalFormatting>
  <conditionalFormatting sqref="K2:K197">
    <cfRule type="containsText" dxfId="79" priority="1" operator="containsText" text="Não">
      <formula>NOT(ISERROR(SEARCH("Não",K2)))</formula>
    </cfRule>
    <cfRule type="containsText" dxfId="78" priority="2" operator="containsText" text="Sim">
      <formula>NOT(ISERROR(SEARCH("Sim",K2)))</formula>
    </cfRule>
  </conditionalFormatting>
  <dataValidations count="4">
    <dataValidation type="list" allowBlank="1" showInputMessage="1" showErrorMessage="1" sqref="S34:S51 A2:A197" xr:uid="{5EF736B7-37FE-44B9-BC59-6CB832D38DB0}">
      <formula1>$X$2:$X$32</formula1>
    </dataValidation>
    <dataValidation type="list" allowBlank="1" showInputMessage="1" showErrorMessage="1" sqref="V34:V51 J2:J197" xr:uid="{118D6937-D07D-4504-98C7-16505E82832A}">
      <formula1>$Y$2:$Y$11</formula1>
    </dataValidation>
    <dataValidation type="list" allowBlank="1" showInputMessage="1" showErrorMessage="1" sqref="C2:C197" xr:uid="{BC9F0DEB-33CB-4E58-A1C8-99DBE28EA8BD}">
      <formula1>$N$2:$N$7</formula1>
    </dataValidation>
    <dataValidation type="list" allowBlank="1" showInputMessage="1" showErrorMessage="1" sqref="K2:L197" xr:uid="{29BD569C-C2EF-45EE-8B56-9F7259469F7E}">
      <formula1>$W$2:$W$3</formula1>
    </dataValidation>
  </dataValidations>
  <pageMargins left="0.7" right="0.7" top="0.75" bottom="0.75" header="0.3" footer="0.3"/>
  <pageSetup scale="2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50C4-93A8-4D9B-A0FC-3EB73A1FD53D}">
  <sheetPr>
    <pageSetUpPr fitToPage="1"/>
  </sheetPr>
  <dimension ref="A1:BC651"/>
  <sheetViews>
    <sheetView zoomScale="82" zoomScaleNormal="82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5.5703125" customWidth="1"/>
    <col min="7" max="8" width="10.5703125" customWidth="1"/>
    <col min="9" max="12" width="15.5703125" customWidth="1"/>
    <col min="13" max="13" width="1" customWidth="1"/>
    <col min="14" max="22" width="15.5703125" customWidth="1"/>
    <col min="23" max="23" width="4.5703125" customWidth="1"/>
    <col min="24" max="24" width="5.85546875" customWidth="1"/>
    <col min="25" max="25" width="14.140625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206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1</v>
      </c>
      <c r="B2" s="2" t="s">
        <v>451</v>
      </c>
      <c r="C2" s="133" t="s">
        <v>17</v>
      </c>
      <c r="D2" s="204">
        <v>2569</v>
      </c>
      <c r="E2" s="16" t="s">
        <v>96</v>
      </c>
      <c r="F2" s="2" t="s">
        <v>97</v>
      </c>
      <c r="G2" s="2">
        <v>3</v>
      </c>
      <c r="H2" s="3">
        <v>207</v>
      </c>
      <c r="I2" s="3">
        <v>62.1</v>
      </c>
      <c r="J2" s="3" t="s">
        <v>14</v>
      </c>
      <c r="K2" s="4" t="s">
        <v>15</v>
      </c>
      <c r="L2" s="5" t="s">
        <v>15</v>
      </c>
      <c r="M2" s="144"/>
      <c r="N2" s="61" t="s">
        <v>17</v>
      </c>
      <c r="O2" s="62">
        <f>SUMIFS(H2:H235,C2:C235,N2,L2:L235,"Sim")</f>
        <v>1193</v>
      </c>
      <c r="P2" s="62">
        <f>O2*0.3</f>
        <v>357.9</v>
      </c>
      <c r="Q2" s="62">
        <f>SUMIFS(I2:I235,C2:C235,N2,K2:K235,"Sim")</f>
        <v>399.29999999999995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8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>
        <v>1</v>
      </c>
      <c r="B3" s="2" t="s">
        <v>257</v>
      </c>
      <c r="C3" s="133" t="s">
        <v>13</v>
      </c>
      <c r="D3" s="204">
        <v>169</v>
      </c>
      <c r="E3" s="16" t="s">
        <v>189</v>
      </c>
      <c r="F3" s="2" t="s">
        <v>224</v>
      </c>
      <c r="G3" s="2">
        <v>2</v>
      </c>
      <c r="H3" s="3">
        <v>35</v>
      </c>
      <c r="I3" s="3">
        <v>10</v>
      </c>
      <c r="J3" s="3" t="s">
        <v>19</v>
      </c>
      <c r="K3" s="4" t="s">
        <v>15</v>
      </c>
      <c r="L3" s="5" t="s">
        <v>16</v>
      </c>
      <c r="M3" s="144"/>
      <c r="N3" s="67" t="s">
        <v>13</v>
      </c>
      <c r="O3" s="68">
        <f>SUMIFS(H2:H235,C2:C235,N3,L2:L235,"Não")</f>
        <v>4786</v>
      </c>
      <c r="P3" s="68">
        <f>SUMIFS(I2:I235,C2:C235,N3,L2:L235,"Não")</f>
        <v>1437.3</v>
      </c>
      <c r="Q3" s="68">
        <f>SUMIFS(I2:I235,C2:C235,N3,K2:K235,"Sim")</f>
        <v>1452.3</v>
      </c>
      <c r="R3" s="69">
        <f>SUMIFS(H2:H235,C2:C235,N3,K2:K235,"Sim")-Q3-Q5</f>
        <v>3287.7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x14ac:dyDescent="0.25">
      <c r="A4" s="1">
        <v>1</v>
      </c>
      <c r="B4" s="2" t="s">
        <v>258</v>
      </c>
      <c r="C4" s="133" t="s">
        <v>23</v>
      </c>
      <c r="D4" s="204">
        <v>170688</v>
      </c>
      <c r="E4" s="16" t="s">
        <v>259</v>
      </c>
      <c r="F4" s="2" t="s">
        <v>452</v>
      </c>
      <c r="G4" s="2">
        <v>2</v>
      </c>
      <c r="H4" s="3">
        <v>39</v>
      </c>
      <c r="I4" s="3" t="s">
        <v>34</v>
      </c>
      <c r="J4" s="3" t="s">
        <v>132</v>
      </c>
      <c r="K4" s="4" t="s">
        <v>15</v>
      </c>
      <c r="L4" s="5" t="s">
        <v>16</v>
      </c>
      <c r="M4" s="144"/>
      <c r="N4" s="67" t="s">
        <v>22</v>
      </c>
      <c r="O4" s="68">
        <f>SUMIFS(H2:H235,C2:C235,N4,L2:L235,"Não")</f>
        <v>915</v>
      </c>
      <c r="P4" s="68">
        <f>O4*0.25</f>
        <v>228.75</v>
      </c>
      <c r="Q4" s="68">
        <f>SUMIFS(I2:I234,C2:C234,N4,K2:K234,"Sim")</f>
        <v>228.75</v>
      </c>
      <c r="R4" s="69">
        <f>O4-P4</f>
        <v>686.25</v>
      </c>
      <c r="S4" s="70" t="s">
        <v>31</v>
      </c>
      <c r="T4" s="71">
        <v>35</v>
      </c>
      <c r="U4" s="71">
        <v>10</v>
      </c>
      <c r="V4" s="72" t="s">
        <v>32</v>
      </c>
      <c r="W4" s="147"/>
      <c r="X4" s="160">
        <v>3</v>
      </c>
      <c r="Y4" s="160" t="s">
        <v>33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>
        <v>2</v>
      </c>
      <c r="B5" s="2">
        <v>106</v>
      </c>
      <c r="C5" s="133" t="s">
        <v>13</v>
      </c>
      <c r="D5" s="204">
        <v>435</v>
      </c>
      <c r="E5" s="16" t="s">
        <v>465</v>
      </c>
      <c r="F5" s="2" t="s">
        <v>76</v>
      </c>
      <c r="G5" s="2">
        <v>1</v>
      </c>
      <c r="H5" s="3">
        <v>25</v>
      </c>
      <c r="I5" s="3">
        <v>8</v>
      </c>
      <c r="J5" s="3" t="s">
        <v>39</v>
      </c>
      <c r="K5" s="4" t="s">
        <v>15</v>
      </c>
      <c r="L5" s="5" t="s">
        <v>16</v>
      </c>
      <c r="M5" s="144"/>
      <c r="N5" s="67" t="s">
        <v>20</v>
      </c>
      <c r="O5" s="68">
        <f>SUMIFS(H2:H235,C2:C235,N5,L2:L235,"Não")</f>
        <v>0</v>
      </c>
      <c r="P5" s="68">
        <f>SUMIFS(I2:I235,C2:C235,N5,L2:L235,"Não")</f>
        <v>0</v>
      </c>
      <c r="Q5" s="68">
        <f>SUMIFS(I2:I235,C2:C235,N5,K2:K235,"Sim")</f>
        <v>36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47"/>
      <c r="X5" s="160">
        <v>4</v>
      </c>
      <c r="Y5" s="160" t="s">
        <v>36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>
        <v>2</v>
      </c>
      <c r="B6" s="2">
        <v>209</v>
      </c>
      <c r="C6" s="133" t="s">
        <v>13</v>
      </c>
      <c r="D6" s="204">
        <v>429</v>
      </c>
      <c r="E6" s="16" t="s">
        <v>590</v>
      </c>
      <c r="F6" s="2" t="s">
        <v>76</v>
      </c>
      <c r="G6" s="2">
        <v>2</v>
      </c>
      <c r="H6" s="3">
        <v>25</v>
      </c>
      <c r="I6" s="3">
        <v>8</v>
      </c>
      <c r="J6" s="3" t="s">
        <v>14</v>
      </c>
      <c r="K6" s="4" t="s">
        <v>15</v>
      </c>
      <c r="L6" s="5" t="s">
        <v>16</v>
      </c>
      <c r="M6" s="144"/>
      <c r="N6" s="67" t="s">
        <v>23</v>
      </c>
      <c r="O6" s="68">
        <f>SUMIFS(H2:H235,C2:C235,N6,L2:L235,"Não")</f>
        <v>1555</v>
      </c>
      <c r="P6" s="68">
        <f>O6*0.15</f>
        <v>233.25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47"/>
      <c r="X6" s="160">
        <v>5</v>
      </c>
      <c r="Y6" s="160" t="s">
        <v>26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>
        <v>2</v>
      </c>
      <c r="B7" s="2">
        <v>102</v>
      </c>
      <c r="C7" s="133" t="s">
        <v>13</v>
      </c>
      <c r="D7" s="204">
        <v>432</v>
      </c>
      <c r="E7" s="18" t="s">
        <v>460</v>
      </c>
      <c r="F7" s="2" t="s">
        <v>76</v>
      </c>
      <c r="G7" s="2">
        <v>1</v>
      </c>
      <c r="H7" s="3">
        <v>25</v>
      </c>
      <c r="I7" s="3">
        <v>8</v>
      </c>
      <c r="J7" s="3" t="s">
        <v>26</v>
      </c>
      <c r="K7" s="4" t="s">
        <v>15</v>
      </c>
      <c r="L7" s="5" t="s">
        <v>16</v>
      </c>
      <c r="M7" s="144"/>
      <c r="N7" s="73" t="s">
        <v>24</v>
      </c>
      <c r="O7" s="74">
        <f>SUMIFS(H2:H235,C2:C235,N7,L2:L235,"Não")</f>
        <v>0</v>
      </c>
      <c r="P7" s="74">
        <f>SUMIFS(I2:I235,C2:C235,N7,L2:L235,"Não")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47"/>
      <c r="X7" s="160">
        <v>6</v>
      </c>
      <c r="Y7" s="160" t="s">
        <v>27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>
        <v>2</v>
      </c>
      <c r="B8" s="17">
        <v>511</v>
      </c>
      <c r="C8" s="133" t="s">
        <v>13</v>
      </c>
      <c r="D8" s="204">
        <v>436</v>
      </c>
      <c r="E8" s="16" t="s">
        <v>378</v>
      </c>
      <c r="F8" s="2" t="s">
        <v>468</v>
      </c>
      <c r="G8" s="2">
        <v>2</v>
      </c>
      <c r="H8" s="3">
        <v>25</v>
      </c>
      <c r="I8" s="3">
        <v>8</v>
      </c>
      <c r="J8" s="3" t="s">
        <v>39</v>
      </c>
      <c r="K8" s="4" t="s">
        <v>15</v>
      </c>
      <c r="L8" s="5" t="s">
        <v>16</v>
      </c>
      <c r="M8" s="144"/>
      <c r="N8" s="77" t="s">
        <v>25</v>
      </c>
      <c r="O8" s="78">
        <f>SUM(O2:O3)</f>
        <v>5979</v>
      </c>
      <c r="P8" s="78">
        <f>SUM(P2:P3)</f>
        <v>1795.1999999999998</v>
      </c>
      <c r="Q8" s="79"/>
      <c r="R8" s="80">
        <f>SUM(R3+R4)+Ago.25!R8</f>
        <v>3973.95</v>
      </c>
      <c r="S8" s="298"/>
      <c r="T8" s="81">
        <v>55</v>
      </c>
      <c r="U8" s="82">
        <v>15</v>
      </c>
      <c r="V8" s="83" t="s">
        <v>21</v>
      </c>
      <c r="W8" s="147"/>
      <c r="X8" s="160">
        <v>7</v>
      </c>
      <c r="Y8" s="160" t="s">
        <v>14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>
        <v>2</v>
      </c>
      <c r="B9" s="2" t="s">
        <v>263</v>
      </c>
      <c r="C9" s="133" t="s">
        <v>23</v>
      </c>
      <c r="D9" s="204">
        <v>165895</v>
      </c>
      <c r="E9" s="16" t="s">
        <v>96</v>
      </c>
      <c r="F9" s="2" t="s">
        <v>320</v>
      </c>
      <c r="G9" s="2">
        <v>2</v>
      </c>
      <c r="H9" s="3">
        <v>39</v>
      </c>
      <c r="I9" s="3" t="s">
        <v>34</v>
      </c>
      <c r="J9" s="3" t="s">
        <v>14</v>
      </c>
      <c r="K9" s="4" t="s">
        <v>15</v>
      </c>
      <c r="L9" s="5" t="s">
        <v>16</v>
      </c>
      <c r="M9" s="144"/>
      <c r="N9" s="145"/>
      <c r="O9" s="146"/>
      <c r="P9" s="146"/>
      <c r="Q9" s="146"/>
      <c r="R9" s="146"/>
      <c r="S9" s="202" t="s">
        <v>552</v>
      </c>
      <c r="T9" s="200">
        <v>0.3</v>
      </c>
      <c r="U9" s="203" t="s">
        <v>22</v>
      </c>
      <c r="V9" s="201">
        <v>0.25</v>
      </c>
      <c r="W9" s="147"/>
      <c r="X9" s="160">
        <v>8</v>
      </c>
      <c r="Y9" s="160" t="s">
        <v>39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>
        <v>2</v>
      </c>
      <c r="B10" s="2">
        <v>229</v>
      </c>
      <c r="C10" s="133" t="s">
        <v>17</v>
      </c>
      <c r="D10" s="204">
        <v>3253</v>
      </c>
      <c r="E10" s="16" t="s">
        <v>96</v>
      </c>
      <c r="F10" s="2" t="s">
        <v>340</v>
      </c>
      <c r="G10" s="2">
        <v>2</v>
      </c>
      <c r="H10" s="3">
        <v>138</v>
      </c>
      <c r="I10" s="3">
        <v>41.4</v>
      </c>
      <c r="J10" s="3" t="s">
        <v>27</v>
      </c>
      <c r="K10" s="4" t="s">
        <v>15</v>
      </c>
      <c r="L10" s="5" t="s">
        <v>15</v>
      </c>
      <c r="M10" s="144"/>
      <c r="N10" s="299" t="s">
        <v>67</v>
      </c>
      <c r="O10" s="300"/>
      <c r="P10" s="301"/>
      <c r="Q10" s="273" t="s">
        <v>68</v>
      </c>
      <c r="R10" s="274"/>
      <c r="S10" s="300"/>
      <c r="T10" s="300"/>
      <c r="U10" s="301"/>
      <c r="V10" s="143"/>
      <c r="W10" s="147"/>
      <c r="X10" s="160">
        <v>9</v>
      </c>
      <c r="Y10" s="160" t="s">
        <v>41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x14ac:dyDescent="0.25">
      <c r="A11" s="1">
        <v>2</v>
      </c>
      <c r="B11" s="2" t="s">
        <v>260</v>
      </c>
      <c r="C11" s="133" t="s">
        <v>23</v>
      </c>
      <c r="D11" s="204">
        <v>162865</v>
      </c>
      <c r="E11" s="16" t="s">
        <v>261</v>
      </c>
      <c r="F11" s="2" t="s">
        <v>262</v>
      </c>
      <c r="G11" s="2">
        <v>2</v>
      </c>
      <c r="H11" s="3">
        <v>39</v>
      </c>
      <c r="I11" s="3" t="s">
        <v>34</v>
      </c>
      <c r="J11" s="3" t="s">
        <v>132</v>
      </c>
      <c r="K11" s="4" t="s">
        <v>15</v>
      </c>
      <c r="L11" s="5" t="s">
        <v>16</v>
      </c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47"/>
      <c r="X11" s="160">
        <v>10</v>
      </c>
      <c r="Y11" s="160" t="s">
        <v>42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>
        <v>2</v>
      </c>
      <c r="B12" s="2">
        <v>212</v>
      </c>
      <c r="C12" s="133" t="s">
        <v>13</v>
      </c>
      <c r="D12" s="204">
        <v>428</v>
      </c>
      <c r="E12" s="18" t="s">
        <v>109</v>
      </c>
      <c r="F12" s="2" t="s">
        <v>76</v>
      </c>
      <c r="G12" s="2">
        <v>2</v>
      </c>
      <c r="H12" s="3">
        <v>40</v>
      </c>
      <c r="I12" s="3">
        <v>12</v>
      </c>
      <c r="J12" s="3" t="s">
        <v>42</v>
      </c>
      <c r="K12" s="4" t="s">
        <v>15</v>
      </c>
      <c r="L12" s="5" t="s">
        <v>16</v>
      </c>
      <c r="M12" s="144"/>
      <c r="N12" s="192" t="s">
        <v>522</v>
      </c>
      <c r="O12" s="193">
        <v>0</v>
      </c>
      <c r="P12" s="194">
        <v>0</v>
      </c>
      <c r="Q12" s="100">
        <v>500</v>
      </c>
      <c r="R12" s="35">
        <v>0</v>
      </c>
      <c r="S12" s="104">
        <f t="shared" ref="S12" si="0">Q12*R12</f>
        <v>0</v>
      </c>
      <c r="T12" s="36" t="s">
        <v>62</v>
      </c>
      <c r="U12" s="37">
        <v>18.77</v>
      </c>
      <c r="V12" s="143"/>
      <c r="W12" s="147"/>
      <c r="X12" s="160">
        <v>11</v>
      </c>
      <c r="Y12" s="160" t="s">
        <v>558</v>
      </c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x14ac:dyDescent="0.25">
      <c r="A13" s="1">
        <v>2</v>
      </c>
      <c r="B13" s="2">
        <v>102</v>
      </c>
      <c r="C13" s="133" t="s">
        <v>13</v>
      </c>
      <c r="D13" s="204">
        <v>433</v>
      </c>
      <c r="E13" s="16" t="s">
        <v>99</v>
      </c>
      <c r="F13" s="2" t="s">
        <v>46</v>
      </c>
      <c r="G13" s="2">
        <v>1</v>
      </c>
      <c r="H13" s="3">
        <v>25</v>
      </c>
      <c r="I13" s="3">
        <v>8</v>
      </c>
      <c r="J13" s="3" t="s">
        <v>26</v>
      </c>
      <c r="K13" s="4" t="s">
        <v>15</v>
      </c>
      <c r="L13" s="5" t="s">
        <v>16</v>
      </c>
      <c r="M13" s="144"/>
      <c r="N13" s="91">
        <v>200</v>
      </c>
      <c r="O13" s="7">
        <v>0</v>
      </c>
      <c r="P13" s="94">
        <f t="shared" ref="P13:P14" si="1">N13*O13</f>
        <v>0</v>
      </c>
      <c r="Q13" s="91">
        <v>200</v>
      </c>
      <c r="R13" s="7">
        <v>0</v>
      </c>
      <c r="S13" s="103">
        <f>Q13*R13</f>
        <v>0</v>
      </c>
      <c r="T13" s="28" t="s">
        <v>496</v>
      </c>
      <c r="U13" s="25">
        <v>13.8</v>
      </c>
      <c r="V13" s="143"/>
      <c r="W13" s="147"/>
      <c r="X13" s="160">
        <v>12</v>
      </c>
      <c r="Y13" s="160" t="s">
        <v>592</v>
      </c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thickBot="1" x14ac:dyDescent="0.3">
      <c r="A14" s="1">
        <v>2</v>
      </c>
      <c r="B14" s="17" t="s">
        <v>458</v>
      </c>
      <c r="C14" s="133" t="s">
        <v>13</v>
      </c>
      <c r="D14" s="204">
        <v>430</v>
      </c>
      <c r="E14" s="16" t="s">
        <v>457</v>
      </c>
      <c r="F14" s="2" t="s">
        <v>510</v>
      </c>
      <c r="G14" s="2">
        <v>2</v>
      </c>
      <c r="H14" s="3">
        <v>55</v>
      </c>
      <c r="I14" s="3">
        <v>15</v>
      </c>
      <c r="J14" s="3" t="s">
        <v>36</v>
      </c>
      <c r="K14" s="4" t="s">
        <v>15</v>
      </c>
      <c r="L14" s="5" t="s">
        <v>16</v>
      </c>
      <c r="M14" s="144"/>
      <c r="N14" s="91">
        <v>100</v>
      </c>
      <c r="O14" s="7">
        <v>0</v>
      </c>
      <c r="P14" s="94">
        <f t="shared" si="1"/>
        <v>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62" t="s">
        <v>593</v>
      </c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>
        <v>3</v>
      </c>
      <c r="B15" s="2">
        <v>321</v>
      </c>
      <c r="C15" s="133" t="s">
        <v>22</v>
      </c>
      <c r="D15" s="204">
        <v>166938</v>
      </c>
      <c r="E15" s="16" t="s">
        <v>34</v>
      </c>
      <c r="F15" s="2" t="s">
        <v>470</v>
      </c>
      <c r="G15" s="2">
        <v>2</v>
      </c>
      <c r="H15" s="3">
        <v>72</v>
      </c>
      <c r="I15" s="3">
        <v>18</v>
      </c>
      <c r="J15" s="3" t="s">
        <v>14</v>
      </c>
      <c r="K15" s="4" t="s">
        <v>15</v>
      </c>
      <c r="L15" s="5" t="s">
        <v>16</v>
      </c>
      <c r="M15" s="144"/>
      <c r="N15" s="91">
        <v>50</v>
      </c>
      <c r="O15" s="7">
        <v>0</v>
      </c>
      <c r="P15" s="94">
        <f>N15*O15</f>
        <v>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>
        <v>3</v>
      </c>
      <c r="B16" s="2" t="s">
        <v>466</v>
      </c>
      <c r="C16" s="133" t="s">
        <v>13</v>
      </c>
      <c r="D16" s="204">
        <v>438</v>
      </c>
      <c r="E16" s="16" t="s">
        <v>416</v>
      </c>
      <c r="F16" s="2" t="s">
        <v>76</v>
      </c>
      <c r="G16" s="2">
        <v>2</v>
      </c>
      <c r="H16" s="3">
        <v>25</v>
      </c>
      <c r="I16" s="3">
        <v>8</v>
      </c>
      <c r="J16" s="3" t="s">
        <v>42</v>
      </c>
      <c r="K16" s="4" t="s">
        <v>15</v>
      </c>
      <c r="L16" s="5" t="s">
        <v>16</v>
      </c>
      <c r="M16" s="144"/>
      <c r="N16" s="91">
        <v>20</v>
      </c>
      <c r="O16" s="7">
        <v>34</v>
      </c>
      <c r="P16" s="94">
        <f>N16*O16</f>
        <v>680</v>
      </c>
      <c r="Q16" s="91">
        <v>20</v>
      </c>
      <c r="R16" s="7">
        <v>1</v>
      </c>
      <c r="S16" s="103">
        <f>Q16*R16</f>
        <v>20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2">
        <v>3</v>
      </c>
      <c r="B17" s="2" t="s">
        <v>467</v>
      </c>
      <c r="C17" s="133" t="s">
        <v>13</v>
      </c>
      <c r="D17" s="205">
        <v>440</v>
      </c>
      <c r="E17" s="172" t="s">
        <v>127</v>
      </c>
      <c r="F17" s="2" t="s">
        <v>468</v>
      </c>
      <c r="G17" s="2">
        <v>4</v>
      </c>
      <c r="H17" s="3">
        <v>40</v>
      </c>
      <c r="I17" s="3">
        <v>12</v>
      </c>
      <c r="J17" s="3" t="s">
        <v>27</v>
      </c>
      <c r="K17" s="4" t="s">
        <v>15</v>
      </c>
      <c r="L17" s="5" t="s">
        <v>16</v>
      </c>
      <c r="M17" s="144"/>
      <c r="N17" s="91">
        <v>10</v>
      </c>
      <c r="O17" s="7">
        <v>0</v>
      </c>
      <c r="P17" s="94">
        <f t="shared" ref="P17:P18" si="2">N17*O17</f>
        <v>0</v>
      </c>
      <c r="Q17" s="91">
        <v>10</v>
      </c>
      <c r="R17" s="7">
        <v>0</v>
      </c>
      <c r="S17" s="103">
        <f>Q17*R17</f>
        <v>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1">
        <v>3</v>
      </c>
      <c r="B18" s="2">
        <v>518</v>
      </c>
      <c r="C18" s="133" t="s">
        <v>13</v>
      </c>
      <c r="D18" s="204">
        <v>439</v>
      </c>
      <c r="E18" s="16" t="s">
        <v>261</v>
      </c>
      <c r="F18" s="2" t="s">
        <v>76</v>
      </c>
      <c r="G18" s="2">
        <v>1</v>
      </c>
      <c r="H18" s="3">
        <v>25</v>
      </c>
      <c r="I18" s="3">
        <v>8</v>
      </c>
      <c r="J18" s="3" t="s">
        <v>27</v>
      </c>
      <c r="K18" s="4" t="s">
        <v>15</v>
      </c>
      <c r="L18" s="5" t="s">
        <v>16</v>
      </c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>
        <v>3</v>
      </c>
      <c r="B19" s="2" t="s">
        <v>264</v>
      </c>
      <c r="C19" s="133" t="s">
        <v>23</v>
      </c>
      <c r="D19" s="204">
        <v>172263</v>
      </c>
      <c r="E19" s="16" t="s">
        <v>265</v>
      </c>
      <c r="F19" s="2" t="s">
        <v>266</v>
      </c>
      <c r="G19" s="2">
        <v>2</v>
      </c>
      <c r="H19" s="3">
        <v>39</v>
      </c>
      <c r="I19" s="3" t="s">
        <v>34</v>
      </c>
      <c r="J19" s="3" t="s">
        <v>14</v>
      </c>
      <c r="K19" s="4" t="s">
        <v>15</v>
      </c>
      <c r="L19" s="5" t="s">
        <v>16</v>
      </c>
      <c r="M19" s="144"/>
      <c r="N19" s="308"/>
      <c r="O19" s="309"/>
      <c r="P19" s="99">
        <f>SUM(P12:P18)</f>
        <v>685</v>
      </c>
      <c r="Q19" s="310"/>
      <c r="R19" s="311"/>
      <c r="S19" s="107">
        <f>SUM(S12:S18)</f>
        <v>25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>
        <v>3</v>
      </c>
      <c r="B20" s="2" t="s">
        <v>469</v>
      </c>
      <c r="C20" s="133" t="s">
        <v>13</v>
      </c>
      <c r="D20" s="204">
        <v>441</v>
      </c>
      <c r="E20" s="16" t="s">
        <v>120</v>
      </c>
      <c r="F20" s="2" t="s">
        <v>76</v>
      </c>
      <c r="G20" s="2">
        <v>4</v>
      </c>
      <c r="H20" s="3">
        <v>40</v>
      </c>
      <c r="I20" s="3">
        <v>12</v>
      </c>
      <c r="J20" s="3" t="s">
        <v>39</v>
      </c>
      <c r="K20" s="4" t="s">
        <v>15</v>
      </c>
      <c r="L20" s="5" t="s">
        <v>16</v>
      </c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>
        <v>3</v>
      </c>
      <c r="B21" s="2" t="s">
        <v>453</v>
      </c>
      <c r="C21" s="133" t="s">
        <v>13</v>
      </c>
      <c r="D21" s="204">
        <v>427</v>
      </c>
      <c r="E21" s="9" t="s">
        <v>442</v>
      </c>
      <c r="F21" s="2" t="s">
        <v>516</v>
      </c>
      <c r="G21" s="2">
        <v>2</v>
      </c>
      <c r="H21" s="3">
        <v>35</v>
      </c>
      <c r="I21" s="3">
        <v>10</v>
      </c>
      <c r="J21" s="3" t="s">
        <v>26</v>
      </c>
      <c r="K21" s="2" t="s">
        <v>15</v>
      </c>
      <c r="L21" s="5" t="s">
        <v>16</v>
      </c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8</v>
      </c>
      <c r="S21" s="102">
        <f>Q21*R21</f>
        <v>16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>
        <v>4</v>
      </c>
      <c r="B22" s="2">
        <v>412</v>
      </c>
      <c r="C22" s="133" t="s">
        <v>22</v>
      </c>
      <c r="D22" s="204">
        <v>171128</v>
      </c>
      <c r="E22" s="16" t="s">
        <v>34</v>
      </c>
      <c r="F22" s="2" t="s">
        <v>476</v>
      </c>
      <c r="G22" s="2">
        <v>2</v>
      </c>
      <c r="H22" s="3">
        <v>66</v>
      </c>
      <c r="I22" s="3">
        <v>16.5</v>
      </c>
      <c r="J22" s="3" t="s">
        <v>14</v>
      </c>
      <c r="K22" s="4" t="s">
        <v>15</v>
      </c>
      <c r="L22" s="5" t="s">
        <v>16</v>
      </c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15</v>
      </c>
      <c r="S22" s="103">
        <f t="shared" ref="S22:S28" si="5">Q22*R22</f>
        <v>15</v>
      </c>
      <c r="T22" s="28"/>
      <c r="U22" s="25"/>
      <c r="V22" s="143"/>
      <c r="W22" s="143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>
        <v>4</v>
      </c>
      <c r="B23" s="2" t="s">
        <v>471</v>
      </c>
      <c r="C23" s="133" t="s">
        <v>23</v>
      </c>
      <c r="D23" s="204">
        <v>173413</v>
      </c>
      <c r="E23" s="16" t="s">
        <v>242</v>
      </c>
      <c r="F23" s="2" t="s">
        <v>76</v>
      </c>
      <c r="G23" s="2">
        <v>2</v>
      </c>
      <c r="H23" s="3">
        <v>22</v>
      </c>
      <c r="I23" s="3" t="s">
        <v>34</v>
      </c>
      <c r="J23" s="3" t="s">
        <v>33</v>
      </c>
      <c r="K23" s="4" t="s">
        <v>15</v>
      </c>
      <c r="L23" s="5" t="s">
        <v>16</v>
      </c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20</v>
      </c>
      <c r="S23" s="103">
        <f t="shared" si="5"/>
        <v>10</v>
      </c>
      <c r="T23" s="28"/>
      <c r="U23" s="25"/>
      <c r="V23" s="143"/>
      <c r="W23" s="143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>
        <v>4</v>
      </c>
      <c r="B24" s="2" t="s">
        <v>472</v>
      </c>
      <c r="C24" s="133" t="s">
        <v>23</v>
      </c>
      <c r="D24" s="204">
        <v>173414</v>
      </c>
      <c r="E24" s="16" t="s">
        <v>242</v>
      </c>
      <c r="F24" s="2" t="s">
        <v>76</v>
      </c>
      <c r="G24" s="2">
        <v>2</v>
      </c>
      <c r="H24" s="3">
        <v>22</v>
      </c>
      <c r="I24" s="3" t="s">
        <v>34</v>
      </c>
      <c r="J24" s="3" t="s">
        <v>33</v>
      </c>
      <c r="K24" s="4" t="s">
        <v>15</v>
      </c>
      <c r="L24" s="5" t="s">
        <v>16</v>
      </c>
      <c r="M24" s="144"/>
      <c r="N24" s="91">
        <v>0.2</v>
      </c>
      <c r="O24" s="7">
        <v>0</v>
      </c>
      <c r="P24" s="94">
        <f t="shared" si="4"/>
        <v>0</v>
      </c>
      <c r="Q24" s="91">
        <v>0.2</v>
      </c>
      <c r="R24" s="7">
        <v>10</v>
      </c>
      <c r="S24" s="103">
        <f t="shared" si="5"/>
        <v>2</v>
      </c>
      <c r="T24" s="33"/>
      <c r="U24" s="34"/>
      <c r="V24" s="143"/>
      <c r="W24" s="143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>
        <v>4</v>
      </c>
      <c r="B25" s="2" t="s">
        <v>267</v>
      </c>
      <c r="C25" s="133" t="s">
        <v>13</v>
      </c>
      <c r="D25" s="204">
        <v>1897</v>
      </c>
      <c r="E25" s="16" t="s">
        <v>462</v>
      </c>
      <c r="F25" s="2" t="s">
        <v>212</v>
      </c>
      <c r="G25" s="2">
        <v>2</v>
      </c>
      <c r="H25" s="3">
        <v>35</v>
      </c>
      <c r="I25" s="3">
        <v>10</v>
      </c>
      <c r="J25" s="3" t="s">
        <v>19</v>
      </c>
      <c r="K25" s="4" t="s">
        <v>15</v>
      </c>
      <c r="L25" s="5" t="s">
        <v>16</v>
      </c>
      <c r="M25" s="144"/>
      <c r="N25" s="91">
        <v>0.1</v>
      </c>
      <c r="O25" s="7">
        <v>0</v>
      </c>
      <c r="P25" s="94">
        <f t="shared" si="4"/>
        <v>0</v>
      </c>
      <c r="Q25" s="91">
        <v>0.1</v>
      </c>
      <c r="R25" s="7">
        <v>22</v>
      </c>
      <c r="S25" s="96">
        <f t="shared" si="5"/>
        <v>2.2000000000000002</v>
      </c>
      <c r="T25" s="109" t="s">
        <v>63</v>
      </c>
      <c r="U25" s="110">
        <f>SUM(U12:U24)</f>
        <v>32.57</v>
      </c>
      <c r="V25" s="143"/>
      <c r="W25" s="143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>
        <v>5</v>
      </c>
      <c r="B26" s="2">
        <v>218</v>
      </c>
      <c r="C26" s="133" t="s">
        <v>13</v>
      </c>
      <c r="D26" s="204">
        <v>443</v>
      </c>
      <c r="E26" s="16" t="s">
        <v>400</v>
      </c>
      <c r="F26" s="2" t="s">
        <v>76</v>
      </c>
      <c r="G26" s="2">
        <v>4</v>
      </c>
      <c r="H26" s="3">
        <v>55</v>
      </c>
      <c r="I26" s="3">
        <v>15</v>
      </c>
      <c r="J26" s="3" t="s">
        <v>42</v>
      </c>
      <c r="K26" s="4" t="s">
        <v>15</v>
      </c>
      <c r="L26" s="5" t="s">
        <v>16</v>
      </c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16</v>
      </c>
      <c r="S26" s="94">
        <f t="shared" si="5"/>
        <v>0.8</v>
      </c>
      <c r="T26" s="111" t="s">
        <v>64</v>
      </c>
      <c r="U26" s="108">
        <v>103.72</v>
      </c>
      <c r="V26" s="143"/>
      <c r="W26" s="143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>
        <v>5</v>
      </c>
      <c r="B27" s="17" t="s">
        <v>257</v>
      </c>
      <c r="C27" s="133" t="s">
        <v>13</v>
      </c>
      <c r="D27" s="204">
        <v>170</v>
      </c>
      <c r="E27" s="16" t="s">
        <v>460</v>
      </c>
      <c r="F27" s="2" t="s">
        <v>76</v>
      </c>
      <c r="G27" s="2">
        <v>2</v>
      </c>
      <c r="H27" s="3">
        <v>25</v>
      </c>
      <c r="I27" s="3">
        <v>8</v>
      </c>
      <c r="J27" s="3" t="s">
        <v>19</v>
      </c>
      <c r="K27" s="4" t="s">
        <v>15</v>
      </c>
      <c r="L27" s="5" t="s">
        <v>16</v>
      </c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1</v>
      </c>
      <c r="S27" s="94">
        <f t="shared" si="5"/>
        <v>0.02</v>
      </c>
      <c r="T27" s="315" t="s">
        <v>65</v>
      </c>
      <c r="U27" s="317"/>
      <c r="V27" s="143"/>
      <c r="W27" s="143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>
        <v>5</v>
      </c>
      <c r="B28" s="2">
        <v>511</v>
      </c>
      <c r="C28" s="133" t="s">
        <v>13</v>
      </c>
      <c r="D28" s="204">
        <v>442</v>
      </c>
      <c r="E28" s="16" t="s">
        <v>159</v>
      </c>
      <c r="F28" s="2" t="s">
        <v>76</v>
      </c>
      <c r="G28" s="2">
        <v>2</v>
      </c>
      <c r="H28" s="3">
        <v>25</v>
      </c>
      <c r="I28" s="3">
        <v>8</v>
      </c>
      <c r="J28" s="3" t="s">
        <v>14</v>
      </c>
      <c r="K28" s="4" t="s">
        <v>15</v>
      </c>
      <c r="L28" s="5" t="s">
        <v>16</v>
      </c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13</v>
      </c>
      <c r="S28" s="95">
        <f t="shared" si="5"/>
        <v>0.13</v>
      </c>
      <c r="T28" s="286">
        <f>S19+S29+U25-U26</f>
        <v>0</v>
      </c>
      <c r="U28" s="287"/>
      <c r="V28" s="143"/>
      <c r="W28" s="143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>
        <v>5</v>
      </c>
      <c r="B29" s="2" t="s">
        <v>268</v>
      </c>
      <c r="C29" s="133" t="s">
        <v>13</v>
      </c>
      <c r="D29" s="205">
        <v>1946</v>
      </c>
      <c r="E29" s="16" t="s">
        <v>242</v>
      </c>
      <c r="F29" s="2" t="s">
        <v>350</v>
      </c>
      <c r="G29" s="2">
        <v>2</v>
      </c>
      <c r="H29" s="3">
        <v>35</v>
      </c>
      <c r="I29" s="3">
        <v>10</v>
      </c>
      <c r="J29" s="3" t="s">
        <v>181</v>
      </c>
      <c r="K29" s="4" t="s">
        <v>15</v>
      </c>
      <c r="L29" s="5" t="s">
        <v>16</v>
      </c>
      <c r="M29" s="144"/>
      <c r="N29" s="290"/>
      <c r="O29" s="291"/>
      <c r="P29" s="101">
        <f>SUM(P21:P28)</f>
        <v>0</v>
      </c>
      <c r="Q29" s="292"/>
      <c r="R29" s="293"/>
      <c r="S29" s="108">
        <f>SUM(S21:S28)</f>
        <v>46.150000000000006</v>
      </c>
      <c r="T29" s="288"/>
      <c r="U29" s="289"/>
      <c r="V29" s="143"/>
      <c r="W29" s="143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>
        <v>5</v>
      </c>
      <c r="B30" s="2" t="s">
        <v>269</v>
      </c>
      <c r="C30" s="133" t="s">
        <v>23</v>
      </c>
      <c r="D30" s="204">
        <v>171835</v>
      </c>
      <c r="E30" s="16" t="s">
        <v>242</v>
      </c>
      <c r="F30" s="2" t="s">
        <v>270</v>
      </c>
      <c r="G30" s="2">
        <v>2</v>
      </c>
      <c r="H30" s="3">
        <v>39</v>
      </c>
      <c r="I30" s="3" t="s">
        <v>271</v>
      </c>
      <c r="J30" s="3" t="s">
        <v>27</v>
      </c>
      <c r="K30" s="4" t="s">
        <v>15</v>
      </c>
      <c r="L30" s="5" t="s">
        <v>16</v>
      </c>
      <c r="M30" s="144"/>
      <c r="N30" s="271" t="s">
        <v>25</v>
      </c>
      <c r="O30" s="272"/>
      <c r="P30" s="112">
        <f>SUM(P19+P29-R8)</f>
        <v>-3288.95</v>
      </c>
      <c r="Q30" s="163"/>
      <c r="R30" s="164"/>
      <c r="S30" s="164"/>
      <c r="T30" s="148"/>
      <c r="U30" s="148"/>
      <c r="V30" s="148"/>
      <c r="W30" s="143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>
        <v>5</v>
      </c>
      <c r="B31" s="2">
        <v>306</v>
      </c>
      <c r="C31" s="133" t="s">
        <v>13</v>
      </c>
      <c r="D31" s="204">
        <v>445</v>
      </c>
      <c r="E31" s="18" t="s">
        <v>201</v>
      </c>
      <c r="F31" s="2" t="s">
        <v>76</v>
      </c>
      <c r="G31" s="2">
        <v>2</v>
      </c>
      <c r="H31" s="3">
        <v>25</v>
      </c>
      <c r="I31" s="3">
        <v>8</v>
      </c>
      <c r="J31" s="3" t="s">
        <v>27</v>
      </c>
      <c r="K31" s="4" t="s">
        <v>15</v>
      </c>
      <c r="L31" s="5" t="s">
        <v>16</v>
      </c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3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>
        <v>5</v>
      </c>
      <c r="B32" s="2" t="s">
        <v>480</v>
      </c>
      <c r="C32" s="133" t="s">
        <v>13</v>
      </c>
      <c r="D32" s="204">
        <v>446</v>
      </c>
      <c r="E32" s="16" t="s">
        <v>481</v>
      </c>
      <c r="F32" s="2" t="s">
        <v>515</v>
      </c>
      <c r="G32" s="2">
        <v>3</v>
      </c>
      <c r="H32" s="3">
        <v>35</v>
      </c>
      <c r="I32" s="3">
        <v>10</v>
      </c>
      <c r="J32" s="3" t="s">
        <v>27</v>
      </c>
      <c r="K32" s="4" t="s">
        <v>15</v>
      </c>
      <c r="L32" s="5" t="s">
        <v>16</v>
      </c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>
        <v>605</v>
      </c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>
        <v>6</v>
      </c>
      <c r="B33" s="165">
        <v>408</v>
      </c>
      <c r="C33" s="133" t="s">
        <v>13</v>
      </c>
      <c r="D33" s="204">
        <v>449</v>
      </c>
      <c r="E33" s="16" t="s">
        <v>572</v>
      </c>
      <c r="F33" s="2" t="s">
        <v>76</v>
      </c>
      <c r="G33" s="2">
        <v>2</v>
      </c>
      <c r="H33" s="3">
        <v>25</v>
      </c>
      <c r="I33" s="3">
        <v>8</v>
      </c>
      <c r="J33" s="3" t="s">
        <v>26</v>
      </c>
      <c r="K33" s="4" t="s">
        <v>15</v>
      </c>
      <c r="L33" s="5" t="s">
        <v>16</v>
      </c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>
        <v>6</v>
      </c>
      <c r="B34" s="2">
        <v>303</v>
      </c>
      <c r="C34" s="133" t="s">
        <v>13</v>
      </c>
      <c r="D34" s="204">
        <v>450</v>
      </c>
      <c r="E34" s="16" t="s">
        <v>242</v>
      </c>
      <c r="F34" s="2" t="s">
        <v>46</v>
      </c>
      <c r="G34" s="2">
        <v>1</v>
      </c>
      <c r="H34" s="3">
        <v>25</v>
      </c>
      <c r="I34" s="3">
        <v>8</v>
      </c>
      <c r="J34" s="3" t="s">
        <v>26</v>
      </c>
      <c r="K34" s="4" t="s">
        <v>15</v>
      </c>
      <c r="L34" s="5" t="s">
        <v>16</v>
      </c>
      <c r="M34" s="144"/>
      <c r="N34" s="100">
        <v>500</v>
      </c>
      <c r="O34" s="35">
        <v>0</v>
      </c>
      <c r="P34" s="96">
        <f t="shared" ref="P34" si="6">N34*O34</f>
        <v>0</v>
      </c>
      <c r="Q34" s="198"/>
      <c r="R34" s="199"/>
      <c r="S34" s="84"/>
      <c r="T34" s="85" t="s">
        <v>17</v>
      </c>
      <c r="U34" s="86">
        <f>Q2-357.9</f>
        <v>41.399999999999977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>
        <v>6</v>
      </c>
      <c r="B35" s="2" t="s">
        <v>479</v>
      </c>
      <c r="C35" s="133" t="s">
        <v>13</v>
      </c>
      <c r="D35" s="204">
        <v>444</v>
      </c>
      <c r="E35" s="16" t="s">
        <v>160</v>
      </c>
      <c r="F35" s="2" t="s">
        <v>76</v>
      </c>
      <c r="G35" s="2">
        <v>4</v>
      </c>
      <c r="H35" s="3">
        <v>40</v>
      </c>
      <c r="I35" s="8">
        <v>12</v>
      </c>
      <c r="J35" s="3" t="s">
        <v>27</v>
      </c>
      <c r="K35" s="4" t="s">
        <v>15</v>
      </c>
      <c r="L35" s="5" t="s">
        <v>16</v>
      </c>
      <c r="M35" s="144"/>
      <c r="N35" s="91">
        <v>200</v>
      </c>
      <c r="O35" s="7">
        <v>0</v>
      </c>
      <c r="P35" s="94">
        <f>N35*O35</f>
        <v>0</v>
      </c>
      <c r="Q35" s="191"/>
      <c r="R35" s="185"/>
      <c r="S35" s="87"/>
      <c r="T35" s="88" t="s">
        <v>13</v>
      </c>
      <c r="U35" s="89">
        <f>Q3-965.3</f>
        <v>487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>
        <v>6</v>
      </c>
      <c r="B36" s="2" t="s">
        <v>463</v>
      </c>
      <c r="C36" s="133" t="s">
        <v>13</v>
      </c>
      <c r="D36" s="204">
        <v>434</v>
      </c>
      <c r="E36" s="16" t="s">
        <v>281</v>
      </c>
      <c r="F36" s="2" t="s">
        <v>288</v>
      </c>
      <c r="G36" s="2">
        <v>1</v>
      </c>
      <c r="H36" s="3">
        <v>35</v>
      </c>
      <c r="I36" s="8">
        <v>10</v>
      </c>
      <c r="J36" s="3" t="s">
        <v>27</v>
      </c>
      <c r="K36" s="4" t="s">
        <v>15</v>
      </c>
      <c r="L36" s="5" t="s">
        <v>16</v>
      </c>
      <c r="M36" s="144"/>
      <c r="N36" s="91">
        <v>100</v>
      </c>
      <c r="O36" s="7">
        <v>0</v>
      </c>
      <c r="P36" s="94">
        <f>N36*O36</f>
        <v>0</v>
      </c>
      <c r="Q36" s="28"/>
      <c r="R36" s="185"/>
      <c r="S36" s="87"/>
      <c r="T36" s="88" t="s">
        <v>22</v>
      </c>
      <c r="U36" s="89">
        <f>Q4-194.25</f>
        <v>34.5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>
        <v>6</v>
      </c>
      <c r="B37" s="2">
        <v>320</v>
      </c>
      <c r="C37" s="133" t="s">
        <v>24</v>
      </c>
      <c r="D37" s="204" t="s">
        <v>485</v>
      </c>
      <c r="E37" s="2" t="s">
        <v>252</v>
      </c>
      <c r="F37" s="2" t="s">
        <v>486</v>
      </c>
      <c r="G37" s="2">
        <v>4</v>
      </c>
      <c r="H37" s="3">
        <v>142.5</v>
      </c>
      <c r="I37" s="3">
        <v>21.37</v>
      </c>
      <c r="J37" s="3" t="s">
        <v>39</v>
      </c>
      <c r="K37" s="4" t="s">
        <v>15</v>
      </c>
      <c r="L37" s="5" t="s">
        <v>15</v>
      </c>
      <c r="M37" s="144"/>
      <c r="N37" s="91">
        <v>50</v>
      </c>
      <c r="O37" s="7">
        <v>1</v>
      </c>
      <c r="P37" s="94">
        <f>N37*O37</f>
        <v>50</v>
      </c>
      <c r="Q37" s="30"/>
      <c r="R37" s="185"/>
      <c r="S37" s="139">
        <v>10</v>
      </c>
      <c r="T37" s="140" t="s">
        <v>72</v>
      </c>
      <c r="U37" s="141">
        <v>66.69</v>
      </c>
      <c r="V37" s="213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>
        <v>6</v>
      </c>
      <c r="B38" s="2" t="s">
        <v>272</v>
      </c>
      <c r="C38" s="133" t="s">
        <v>23</v>
      </c>
      <c r="D38" s="204">
        <v>160361</v>
      </c>
      <c r="E38" s="18" t="s">
        <v>511</v>
      </c>
      <c r="F38" s="2" t="s">
        <v>484</v>
      </c>
      <c r="G38" s="2">
        <v>2</v>
      </c>
      <c r="H38" s="3">
        <v>39</v>
      </c>
      <c r="I38" s="8" t="s">
        <v>34</v>
      </c>
      <c r="J38" s="3" t="s">
        <v>18</v>
      </c>
      <c r="K38" s="4" t="s">
        <v>15</v>
      </c>
      <c r="L38" s="5" t="s">
        <v>16</v>
      </c>
      <c r="M38" s="144"/>
      <c r="N38" s="91">
        <v>20</v>
      </c>
      <c r="O38" s="7">
        <v>16</v>
      </c>
      <c r="P38" s="94">
        <f>N38*O38</f>
        <v>320</v>
      </c>
      <c r="Q38" s="28"/>
      <c r="R38" s="185"/>
      <c r="S38" s="207">
        <v>22</v>
      </c>
      <c r="T38" s="208" t="s">
        <v>597</v>
      </c>
      <c r="U38" s="209">
        <v>6.5</v>
      </c>
      <c r="V38" s="214" t="s">
        <v>14</v>
      </c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>
        <v>6</v>
      </c>
      <c r="B39" s="2" t="s">
        <v>274</v>
      </c>
      <c r="C39" s="133" t="s">
        <v>23</v>
      </c>
      <c r="D39" s="204">
        <v>168955</v>
      </c>
      <c r="E39" s="16" t="s">
        <v>275</v>
      </c>
      <c r="F39" s="2" t="s">
        <v>276</v>
      </c>
      <c r="G39" s="2">
        <v>2</v>
      </c>
      <c r="H39" s="3">
        <v>39</v>
      </c>
      <c r="I39" s="3" t="s">
        <v>34</v>
      </c>
      <c r="J39" s="3" t="s">
        <v>14</v>
      </c>
      <c r="K39" s="4" t="s">
        <v>15</v>
      </c>
      <c r="L39" s="5" t="s">
        <v>16</v>
      </c>
      <c r="M39" s="144"/>
      <c r="N39" s="91">
        <v>10</v>
      </c>
      <c r="O39" s="7">
        <v>5</v>
      </c>
      <c r="P39" s="94">
        <f>N39*O39</f>
        <v>50</v>
      </c>
      <c r="Q39" s="28"/>
      <c r="R39" s="185"/>
      <c r="S39" s="210">
        <v>22</v>
      </c>
      <c r="T39" s="211" t="s">
        <v>598</v>
      </c>
      <c r="U39" s="212">
        <v>-26</v>
      </c>
      <c r="V39" s="215" t="s">
        <v>14</v>
      </c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>
        <v>7</v>
      </c>
      <c r="B40" s="2">
        <v>210</v>
      </c>
      <c r="C40" s="133" t="s">
        <v>13</v>
      </c>
      <c r="D40" s="204">
        <v>2852</v>
      </c>
      <c r="E40" s="16" t="s">
        <v>413</v>
      </c>
      <c r="F40" s="2" t="s">
        <v>573</v>
      </c>
      <c r="G40" s="2">
        <v>2</v>
      </c>
      <c r="H40" s="3">
        <v>25</v>
      </c>
      <c r="I40" s="3">
        <v>8</v>
      </c>
      <c r="J40" s="3" t="s">
        <v>26</v>
      </c>
      <c r="K40" s="4" t="s">
        <v>15</v>
      </c>
      <c r="L40" s="5" t="s">
        <v>16</v>
      </c>
      <c r="M40" s="144"/>
      <c r="N40" s="124">
        <v>5</v>
      </c>
      <c r="O40" s="27">
        <v>28</v>
      </c>
      <c r="P40" s="97">
        <f t="shared" ref="P40" si="7">N40*O40</f>
        <v>140</v>
      </c>
      <c r="Q40" s="28"/>
      <c r="R40" s="185"/>
      <c r="S40" s="207">
        <v>22</v>
      </c>
      <c r="T40" s="208" t="s">
        <v>597</v>
      </c>
      <c r="U40" s="209">
        <v>4</v>
      </c>
      <c r="V40" s="214" t="s">
        <v>27</v>
      </c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>
        <v>7</v>
      </c>
      <c r="B41" s="2" t="s">
        <v>280</v>
      </c>
      <c r="C41" s="133" t="s">
        <v>23</v>
      </c>
      <c r="D41" s="204">
        <v>167208</v>
      </c>
      <c r="E41" s="16" t="s">
        <v>281</v>
      </c>
      <c r="F41" s="2" t="s">
        <v>501</v>
      </c>
      <c r="G41" s="2">
        <v>2</v>
      </c>
      <c r="H41" s="3">
        <v>39</v>
      </c>
      <c r="I41" s="8" t="s">
        <v>34</v>
      </c>
      <c r="J41" s="3" t="s">
        <v>132</v>
      </c>
      <c r="K41" s="4" t="s">
        <v>15</v>
      </c>
      <c r="L41" s="5" t="s">
        <v>16</v>
      </c>
      <c r="M41" s="144"/>
      <c r="N41" s="279"/>
      <c r="O41" s="280"/>
      <c r="P41" s="119">
        <f>SUM(P34:P40)</f>
        <v>560</v>
      </c>
      <c r="Q41" s="28"/>
      <c r="R41" s="185"/>
      <c r="S41" s="218">
        <v>22</v>
      </c>
      <c r="T41" s="219" t="s">
        <v>604</v>
      </c>
      <c r="U41" s="220">
        <v>20</v>
      </c>
      <c r="V41" s="216" t="s">
        <v>18</v>
      </c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>
        <v>7</v>
      </c>
      <c r="B42" s="2" t="s">
        <v>277</v>
      </c>
      <c r="C42" s="133" t="s">
        <v>23</v>
      </c>
      <c r="D42" s="204">
        <v>167142</v>
      </c>
      <c r="E42" s="16" t="s">
        <v>278</v>
      </c>
      <c r="F42" s="2" t="s">
        <v>279</v>
      </c>
      <c r="G42" s="2">
        <v>2</v>
      </c>
      <c r="H42" s="3">
        <v>39</v>
      </c>
      <c r="I42" s="8" t="s">
        <v>34</v>
      </c>
      <c r="J42" s="3" t="s">
        <v>18</v>
      </c>
      <c r="K42" s="4" t="s">
        <v>15</v>
      </c>
      <c r="L42" s="5" t="s">
        <v>16</v>
      </c>
      <c r="M42" s="144"/>
      <c r="N42" s="281" t="s">
        <v>44</v>
      </c>
      <c r="O42" s="282"/>
      <c r="P42" s="283"/>
      <c r="Q42" s="28"/>
      <c r="R42" s="185"/>
      <c r="S42" s="218">
        <v>23</v>
      </c>
      <c r="T42" s="219" t="s">
        <v>375</v>
      </c>
      <c r="U42" s="220">
        <v>1</v>
      </c>
      <c r="V42" s="221" t="s">
        <v>27</v>
      </c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>
        <v>7</v>
      </c>
      <c r="B43" s="2" t="s">
        <v>286</v>
      </c>
      <c r="C43" s="133" t="s">
        <v>13</v>
      </c>
      <c r="D43" s="204">
        <v>431</v>
      </c>
      <c r="E43" s="16" t="s">
        <v>502</v>
      </c>
      <c r="F43" s="2" t="s">
        <v>505</v>
      </c>
      <c r="G43" s="2">
        <v>2</v>
      </c>
      <c r="H43" s="3">
        <v>35</v>
      </c>
      <c r="I43" s="8">
        <v>10</v>
      </c>
      <c r="J43" s="3" t="s">
        <v>26</v>
      </c>
      <c r="K43" s="4" t="s">
        <v>15</v>
      </c>
      <c r="L43" s="5" t="s">
        <v>16</v>
      </c>
      <c r="M43" s="144"/>
      <c r="N43" s="90">
        <v>2</v>
      </c>
      <c r="O43" s="24">
        <v>2</v>
      </c>
      <c r="P43" s="93">
        <f t="shared" ref="P43:P50" si="8">N43*O43</f>
        <v>4</v>
      </c>
      <c r="Q43" s="29"/>
      <c r="R43" s="185"/>
      <c r="S43" s="218">
        <v>27</v>
      </c>
      <c r="T43" s="219" t="s">
        <v>604</v>
      </c>
      <c r="U43" s="220">
        <v>10</v>
      </c>
      <c r="V43" s="221" t="s">
        <v>18</v>
      </c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>
        <v>7</v>
      </c>
      <c r="B44" s="2">
        <v>410</v>
      </c>
      <c r="C44" s="133" t="s">
        <v>13</v>
      </c>
      <c r="D44" s="204">
        <v>2857</v>
      </c>
      <c r="E44" s="18" t="s">
        <v>402</v>
      </c>
      <c r="F44" s="2" t="s">
        <v>76</v>
      </c>
      <c r="G44" s="2">
        <v>2</v>
      </c>
      <c r="H44" s="3">
        <v>25</v>
      </c>
      <c r="I44" s="8">
        <v>8</v>
      </c>
      <c r="J44" s="3" t="s">
        <v>27</v>
      </c>
      <c r="K44" s="4" t="s">
        <v>15</v>
      </c>
      <c r="L44" s="5" t="s">
        <v>16</v>
      </c>
      <c r="M44" s="144"/>
      <c r="N44" s="91">
        <v>1</v>
      </c>
      <c r="O44" s="7">
        <v>110</v>
      </c>
      <c r="P44" s="94">
        <f>N44*O44</f>
        <v>110</v>
      </c>
      <c r="Q44" s="29"/>
      <c r="R44" s="185"/>
      <c r="S44" s="207">
        <v>27</v>
      </c>
      <c r="T44" s="208" t="s">
        <v>20</v>
      </c>
      <c r="U44" s="222">
        <v>8</v>
      </c>
      <c r="V44" s="214" t="s">
        <v>18</v>
      </c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>
        <v>7</v>
      </c>
      <c r="B45" s="2">
        <v>415</v>
      </c>
      <c r="C45" s="133" t="s">
        <v>13</v>
      </c>
      <c r="D45" s="204">
        <v>2853</v>
      </c>
      <c r="E45" s="16" t="s">
        <v>402</v>
      </c>
      <c r="F45" s="2" t="s">
        <v>76</v>
      </c>
      <c r="G45" s="2">
        <v>2</v>
      </c>
      <c r="H45" s="3">
        <v>25</v>
      </c>
      <c r="I45" s="8">
        <v>8</v>
      </c>
      <c r="J45" s="3" t="s">
        <v>26</v>
      </c>
      <c r="K45" s="4" t="s">
        <v>15</v>
      </c>
      <c r="L45" s="5" t="s">
        <v>16</v>
      </c>
      <c r="M45" s="144"/>
      <c r="N45" s="91">
        <v>0.5</v>
      </c>
      <c r="O45" s="7">
        <v>30</v>
      </c>
      <c r="P45" s="94">
        <f>N45*O45</f>
        <v>15</v>
      </c>
      <c r="Q45" s="31"/>
      <c r="R45" s="186"/>
      <c r="S45" s="207">
        <v>28</v>
      </c>
      <c r="T45" s="208" t="s">
        <v>597</v>
      </c>
      <c r="U45" s="223">
        <v>20</v>
      </c>
      <c r="V45" s="214" t="s">
        <v>26</v>
      </c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>
        <v>8</v>
      </c>
      <c r="B46" s="2">
        <v>418</v>
      </c>
      <c r="C46" s="133" t="s">
        <v>13</v>
      </c>
      <c r="D46" s="204">
        <v>2851</v>
      </c>
      <c r="E46" s="2" t="s">
        <v>159</v>
      </c>
      <c r="F46" s="2" t="s">
        <v>76</v>
      </c>
      <c r="G46" s="2">
        <v>2</v>
      </c>
      <c r="H46" s="3">
        <v>25</v>
      </c>
      <c r="I46" s="3">
        <v>8</v>
      </c>
      <c r="J46" s="3" t="s">
        <v>26</v>
      </c>
      <c r="K46" s="2" t="s">
        <v>15</v>
      </c>
      <c r="L46" s="5" t="s">
        <v>16</v>
      </c>
      <c r="M46" s="144"/>
      <c r="N46" s="91">
        <v>0.2</v>
      </c>
      <c r="O46" s="7">
        <v>0</v>
      </c>
      <c r="P46" s="94">
        <f t="shared" si="8"/>
        <v>0</v>
      </c>
      <c r="Q46" s="120" t="s">
        <v>25</v>
      </c>
      <c r="R46" s="187">
        <f>SUM(R34:R45)</f>
        <v>0</v>
      </c>
      <c r="S46" s="207">
        <v>28</v>
      </c>
      <c r="T46" s="208" t="s">
        <v>597</v>
      </c>
      <c r="U46" s="222">
        <v>10</v>
      </c>
      <c r="V46" s="214" t="s">
        <v>14</v>
      </c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>
        <v>8</v>
      </c>
      <c r="B47" s="2" t="s">
        <v>283</v>
      </c>
      <c r="C47" s="133" t="s">
        <v>23</v>
      </c>
      <c r="D47" s="204">
        <v>167198</v>
      </c>
      <c r="E47" s="9" t="s">
        <v>284</v>
      </c>
      <c r="F47" s="2" t="s">
        <v>285</v>
      </c>
      <c r="G47" s="2">
        <v>2</v>
      </c>
      <c r="H47" s="3">
        <v>39</v>
      </c>
      <c r="I47" s="3" t="s">
        <v>34</v>
      </c>
      <c r="J47" s="3" t="s">
        <v>19</v>
      </c>
      <c r="K47" s="2" t="s">
        <v>15</v>
      </c>
      <c r="L47" s="5" t="s">
        <v>16</v>
      </c>
      <c r="M47" s="144"/>
      <c r="N47" s="91">
        <v>0.1</v>
      </c>
      <c r="O47" s="7">
        <v>0</v>
      </c>
      <c r="P47" s="94">
        <f t="shared" si="8"/>
        <v>0</v>
      </c>
      <c r="Q47" s="318"/>
      <c r="R47" s="321"/>
      <c r="S47" s="207">
        <v>28</v>
      </c>
      <c r="T47" s="208" t="s">
        <v>20</v>
      </c>
      <c r="U47" s="222">
        <v>10</v>
      </c>
      <c r="V47" s="214" t="s">
        <v>18</v>
      </c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>
        <v>8</v>
      </c>
      <c r="B48" s="2" t="s">
        <v>473</v>
      </c>
      <c r="C48" s="133" t="s">
        <v>17</v>
      </c>
      <c r="D48" s="225">
        <v>3254</v>
      </c>
      <c r="E48" s="2" t="s">
        <v>96</v>
      </c>
      <c r="F48" s="2" t="s">
        <v>340</v>
      </c>
      <c r="G48" s="2">
        <v>4</v>
      </c>
      <c r="H48" s="3">
        <v>276</v>
      </c>
      <c r="I48" s="3">
        <v>82.8</v>
      </c>
      <c r="J48" s="3" t="s">
        <v>14</v>
      </c>
      <c r="K48" s="2" t="s">
        <v>15</v>
      </c>
      <c r="L48" s="5" t="s">
        <v>15</v>
      </c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88">
        <f>SUM(U34:U51)</f>
        <v>701.08999999999992</v>
      </c>
      <c r="S48" s="207">
        <v>28</v>
      </c>
      <c r="T48" s="224" t="s">
        <v>20</v>
      </c>
      <c r="U48" s="222">
        <v>8</v>
      </c>
      <c r="V48" s="214" t="s">
        <v>18</v>
      </c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>
        <v>8</v>
      </c>
      <c r="B49" s="2" t="s">
        <v>489</v>
      </c>
      <c r="C49" s="133" t="s">
        <v>13</v>
      </c>
      <c r="D49" s="204">
        <v>2860</v>
      </c>
      <c r="E49" s="2" t="s">
        <v>91</v>
      </c>
      <c r="F49" s="2" t="s">
        <v>76</v>
      </c>
      <c r="G49" s="2">
        <v>4</v>
      </c>
      <c r="H49" s="3">
        <v>55</v>
      </c>
      <c r="I49" s="3">
        <v>15</v>
      </c>
      <c r="J49" s="3" t="s">
        <v>42</v>
      </c>
      <c r="K49" s="2" t="s">
        <v>15</v>
      </c>
      <c r="L49" s="5" t="s">
        <v>16</v>
      </c>
      <c r="M49" s="144"/>
      <c r="N49" s="91">
        <v>0.02</v>
      </c>
      <c r="O49" s="7">
        <v>2</v>
      </c>
      <c r="P49" s="94">
        <f t="shared" si="8"/>
        <v>0.04</v>
      </c>
      <c r="Q49" s="116" t="s">
        <v>70</v>
      </c>
      <c r="R49" s="189">
        <f>P41+P51+R46</f>
        <v>689.09</v>
      </c>
      <c r="S49" s="207"/>
      <c r="T49" s="208"/>
      <c r="U49" s="222"/>
      <c r="V49" s="214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>
        <v>8</v>
      </c>
      <c r="B50" s="2" t="s">
        <v>487</v>
      </c>
      <c r="C50" s="133" t="s">
        <v>13</v>
      </c>
      <c r="D50" s="204">
        <v>2854</v>
      </c>
      <c r="E50" s="2" t="s">
        <v>134</v>
      </c>
      <c r="F50" s="2" t="s">
        <v>135</v>
      </c>
      <c r="G50" s="2">
        <v>2</v>
      </c>
      <c r="H50" s="3">
        <v>35</v>
      </c>
      <c r="I50" s="3">
        <v>10</v>
      </c>
      <c r="J50" s="3" t="s">
        <v>27</v>
      </c>
      <c r="K50" s="2" t="s">
        <v>15</v>
      </c>
      <c r="L50" s="5" t="s">
        <v>16</v>
      </c>
      <c r="M50" s="144"/>
      <c r="N50" s="92">
        <v>0.01</v>
      </c>
      <c r="O50" s="26">
        <v>0</v>
      </c>
      <c r="P50" s="95">
        <f t="shared" si="8"/>
        <v>0</v>
      </c>
      <c r="Q50" s="117" t="s">
        <v>59</v>
      </c>
      <c r="R50" s="190">
        <f>R49-R48</f>
        <v>-11.999999999999886</v>
      </c>
      <c r="S50" s="207"/>
      <c r="T50" s="208"/>
      <c r="U50" s="222"/>
      <c r="V50" s="214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>
        <v>9</v>
      </c>
      <c r="B51" s="2">
        <v>208</v>
      </c>
      <c r="C51" s="133" t="s">
        <v>22</v>
      </c>
      <c r="D51" s="204">
        <v>166538</v>
      </c>
      <c r="E51" s="2" t="s">
        <v>34</v>
      </c>
      <c r="F51" s="2" t="s">
        <v>476</v>
      </c>
      <c r="G51" s="2">
        <v>2</v>
      </c>
      <c r="H51" s="3">
        <v>66</v>
      </c>
      <c r="I51" s="8">
        <v>16.5</v>
      </c>
      <c r="J51" s="3" t="s">
        <v>14</v>
      </c>
      <c r="K51" s="4" t="s">
        <v>15</v>
      </c>
      <c r="L51" s="5" t="s">
        <v>16</v>
      </c>
      <c r="M51" s="144"/>
      <c r="N51" s="269"/>
      <c r="O51" s="270"/>
      <c r="P51" s="118">
        <f>SUM(P43:P50)</f>
        <v>129.09</v>
      </c>
      <c r="Q51" s="125" t="s">
        <v>60</v>
      </c>
      <c r="R51" s="179">
        <f>R49/9</f>
        <v>76.565555555555562</v>
      </c>
      <c r="S51" s="195"/>
      <c r="T51" s="196"/>
      <c r="U51" s="197"/>
      <c r="V51" s="217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>
        <v>9</v>
      </c>
      <c r="B52" s="2">
        <v>501</v>
      </c>
      <c r="C52" s="133" t="s">
        <v>13</v>
      </c>
      <c r="D52" s="204">
        <v>2855</v>
      </c>
      <c r="E52" s="16" t="s">
        <v>192</v>
      </c>
      <c r="F52" s="2" t="s">
        <v>76</v>
      </c>
      <c r="G52" s="2">
        <v>1</v>
      </c>
      <c r="H52" s="3">
        <v>25</v>
      </c>
      <c r="I52" s="3">
        <v>8</v>
      </c>
      <c r="J52" s="3" t="s">
        <v>27</v>
      </c>
      <c r="K52" s="4" t="s">
        <v>15</v>
      </c>
      <c r="L52" s="5" t="s">
        <v>16</v>
      </c>
      <c r="M52" s="144"/>
      <c r="N52" s="143"/>
      <c r="O52" s="143" t="s">
        <v>45</v>
      </c>
      <c r="P52" s="143"/>
      <c r="Q52" s="143"/>
      <c r="R52" s="143"/>
      <c r="S52" s="178"/>
      <c r="T52" s="178"/>
      <c r="U52" s="180"/>
      <c r="V52" s="178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>
        <v>9</v>
      </c>
      <c r="B53" s="2">
        <v>429</v>
      </c>
      <c r="C53" s="133" t="s">
        <v>13</v>
      </c>
      <c r="D53" s="204">
        <v>2856</v>
      </c>
      <c r="E53" s="2" t="s">
        <v>242</v>
      </c>
      <c r="F53" s="2" t="s">
        <v>76</v>
      </c>
      <c r="G53" s="2">
        <v>2</v>
      </c>
      <c r="H53" s="3">
        <v>25</v>
      </c>
      <c r="I53" s="3">
        <v>8</v>
      </c>
      <c r="J53" s="2" t="s">
        <v>27</v>
      </c>
      <c r="K53" s="2" t="s">
        <v>15</v>
      </c>
      <c r="L53" s="5" t="s">
        <v>16</v>
      </c>
      <c r="M53" s="144"/>
      <c r="N53" s="143"/>
      <c r="O53" s="320" t="s">
        <v>648</v>
      </c>
      <c r="P53" s="320"/>
      <c r="Q53" s="320"/>
      <c r="R53" s="320"/>
      <c r="S53" s="320"/>
      <c r="T53" s="320"/>
      <c r="U53" s="181"/>
      <c r="V53" s="182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>
        <v>9</v>
      </c>
      <c r="B54" s="2" t="s">
        <v>274</v>
      </c>
      <c r="C54" s="133" t="s">
        <v>23</v>
      </c>
      <c r="D54" s="204">
        <v>168955</v>
      </c>
      <c r="E54" s="176" t="s">
        <v>107</v>
      </c>
      <c r="F54" s="2" t="s">
        <v>76</v>
      </c>
      <c r="G54" s="2">
        <v>2</v>
      </c>
      <c r="H54" s="3">
        <v>22</v>
      </c>
      <c r="I54" s="3" t="s">
        <v>34</v>
      </c>
      <c r="J54" s="3" t="s">
        <v>14</v>
      </c>
      <c r="K54" s="2" t="s">
        <v>15</v>
      </c>
      <c r="L54" s="5" t="s">
        <v>16</v>
      </c>
      <c r="M54" s="144"/>
      <c r="N54" s="143"/>
      <c r="O54" s="320"/>
      <c r="P54" s="320"/>
      <c r="Q54" s="320"/>
      <c r="R54" s="320"/>
      <c r="S54" s="320"/>
      <c r="T54" s="320"/>
      <c r="U54" s="181"/>
      <c r="V54" s="182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>
        <v>9</v>
      </c>
      <c r="B55" s="2" t="s">
        <v>491</v>
      </c>
      <c r="C55" s="133" t="s">
        <v>13</v>
      </c>
      <c r="D55" s="204">
        <v>2859</v>
      </c>
      <c r="E55" s="2" t="s">
        <v>127</v>
      </c>
      <c r="F55" s="2" t="s">
        <v>76</v>
      </c>
      <c r="G55" s="2">
        <v>2</v>
      </c>
      <c r="H55" s="3">
        <v>25</v>
      </c>
      <c r="I55" s="3">
        <v>8</v>
      </c>
      <c r="J55" s="3" t="s">
        <v>42</v>
      </c>
      <c r="K55" s="2" t="s">
        <v>15</v>
      </c>
      <c r="L55" s="5" t="s">
        <v>16</v>
      </c>
      <c r="M55" s="144"/>
      <c r="N55" s="143"/>
      <c r="O55" s="320"/>
      <c r="P55" s="320"/>
      <c r="Q55" s="320"/>
      <c r="R55" s="320"/>
      <c r="S55" s="320"/>
      <c r="T55" s="320"/>
      <c r="U55" s="183"/>
      <c r="V55" s="184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>
        <v>9</v>
      </c>
      <c r="B56" s="2" t="s">
        <v>492</v>
      </c>
      <c r="C56" s="133" t="s">
        <v>13</v>
      </c>
      <c r="D56" s="204">
        <v>2864</v>
      </c>
      <c r="E56" s="2" t="s">
        <v>127</v>
      </c>
      <c r="F56" s="2" t="s">
        <v>468</v>
      </c>
      <c r="G56" s="2">
        <v>4</v>
      </c>
      <c r="H56" s="3">
        <v>40</v>
      </c>
      <c r="I56" s="3">
        <v>12</v>
      </c>
      <c r="J56" s="3" t="s">
        <v>26</v>
      </c>
      <c r="K56" s="2" t="s">
        <v>15</v>
      </c>
      <c r="L56" s="5" t="s">
        <v>16</v>
      </c>
      <c r="M56" s="144"/>
      <c r="N56" s="143"/>
      <c r="O56" s="143"/>
      <c r="P56" s="143"/>
      <c r="Q56" s="143"/>
      <c r="R56" s="143"/>
      <c r="S56" s="177"/>
      <c r="T56" s="177"/>
      <c r="U56" s="181"/>
      <c r="V56" s="182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>
        <v>9</v>
      </c>
      <c r="B57" s="2">
        <v>206</v>
      </c>
      <c r="C57" s="133" t="s">
        <v>13</v>
      </c>
      <c r="D57" s="204">
        <v>2861</v>
      </c>
      <c r="E57" s="16" t="s">
        <v>160</v>
      </c>
      <c r="F57" s="2" t="s">
        <v>76</v>
      </c>
      <c r="G57" s="2">
        <v>2</v>
      </c>
      <c r="H57" s="3">
        <v>25</v>
      </c>
      <c r="I57" s="3">
        <v>8</v>
      </c>
      <c r="J57" s="3" t="s">
        <v>26</v>
      </c>
      <c r="K57" s="2" t="s">
        <v>15</v>
      </c>
      <c r="L57" s="5" t="s">
        <v>16</v>
      </c>
      <c r="M57" s="144"/>
      <c r="N57" s="143"/>
      <c r="O57" s="143"/>
      <c r="P57" s="143"/>
      <c r="Q57" s="143"/>
      <c r="R57" s="143"/>
      <c r="S57" s="177"/>
      <c r="T57" s="177"/>
      <c r="U57" s="177"/>
      <c r="V57" s="177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>
        <v>9</v>
      </c>
      <c r="B58" s="2">
        <v>424</v>
      </c>
      <c r="C58" s="133" t="s">
        <v>13</v>
      </c>
      <c r="D58" s="204">
        <v>2867</v>
      </c>
      <c r="E58" s="16" t="s">
        <v>178</v>
      </c>
      <c r="F58" s="2" t="s">
        <v>76</v>
      </c>
      <c r="G58" s="2">
        <v>2</v>
      </c>
      <c r="H58" s="3">
        <v>25</v>
      </c>
      <c r="I58" s="8">
        <v>8</v>
      </c>
      <c r="J58" s="3" t="s">
        <v>26</v>
      </c>
      <c r="K58" s="4" t="s">
        <v>15</v>
      </c>
      <c r="L58" s="5" t="s">
        <v>16</v>
      </c>
      <c r="M58" s="144"/>
      <c r="N58" s="143"/>
      <c r="O58" s="143"/>
      <c r="P58" s="143"/>
      <c r="Q58" s="143"/>
      <c r="R58" s="143"/>
      <c r="S58" s="177"/>
      <c r="T58" s="177"/>
      <c r="U58" s="177"/>
      <c r="V58" s="177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>
        <v>9</v>
      </c>
      <c r="B59" s="2" t="s">
        <v>490</v>
      </c>
      <c r="C59" s="133" t="s">
        <v>13</v>
      </c>
      <c r="D59" s="204">
        <v>2869</v>
      </c>
      <c r="E59" s="16" t="s">
        <v>497</v>
      </c>
      <c r="F59" s="2" t="s">
        <v>504</v>
      </c>
      <c r="G59" s="2">
        <v>2</v>
      </c>
      <c r="H59" s="3">
        <v>35</v>
      </c>
      <c r="I59" s="3">
        <v>10</v>
      </c>
      <c r="J59" s="3" t="s">
        <v>26</v>
      </c>
      <c r="K59" s="2" t="s">
        <v>15</v>
      </c>
      <c r="L59" s="5" t="s">
        <v>16</v>
      </c>
      <c r="M59" s="144"/>
      <c r="N59" s="143"/>
      <c r="O59" s="143"/>
      <c r="P59" s="143"/>
      <c r="Q59" s="143"/>
      <c r="R59" s="143"/>
      <c r="S59" s="177"/>
      <c r="T59" s="177"/>
      <c r="U59" s="177"/>
      <c r="V59" s="177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>
        <v>10</v>
      </c>
      <c r="B60" s="2">
        <v>109</v>
      </c>
      <c r="C60" s="133" t="s">
        <v>22</v>
      </c>
      <c r="D60" s="204" t="s">
        <v>21</v>
      </c>
      <c r="E60" s="16" t="s">
        <v>34</v>
      </c>
      <c r="F60" s="2" t="s">
        <v>470</v>
      </c>
      <c r="G60" s="2">
        <v>1</v>
      </c>
      <c r="H60" s="3">
        <v>36</v>
      </c>
      <c r="I60" s="8">
        <v>9</v>
      </c>
      <c r="J60" s="3" t="s">
        <v>18</v>
      </c>
      <c r="K60" s="4" t="s">
        <v>15</v>
      </c>
      <c r="L60" s="5" t="s">
        <v>16</v>
      </c>
      <c r="M60" s="144"/>
      <c r="N60" s="143"/>
      <c r="O60" s="143"/>
      <c r="P60" s="143"/>
      <c r="Q60" s="143"/>
      <c r="R60" s="143"/>
      <c r="S60" s="177"/>
      <c r="T60" s="177"/>
      <c r="U60" s="177"/>
      <c r="V60" s="177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>
        <v>10</v>
      </c>
      <c r="B61" s="2">
        <v>220</v>
      </c>
      <c r="C61" s="133" t="s">
        <v>13</v>
      </c>
      <c r="D61" s="204">
        <v>2871</v>
      </c>
      <c r="E61" s="18" t="s">
        <v>416</v>
      </c>
      <c r="F61" s="2" t="s">
        <v>76</v>
      </c>
      <c r="G61" s="2">
        <v>2</v>
      </c>
      <c r="H61" s="3">
        <v>25</v>
      </c>
      <c r="I61" s="8">
        <v>8</v>
      </c>
      <c r="J61" s="3" t="s">
        <v>18</v>
      </c>
      <c r="K61" s="4" t="s">
        <v>15</v>
      </c>
      <c r="L61" s="5" t="s">
        <v>16</v>
      </c>
      <c r="M61" s="144"/>
      <c r="N61" s="143"/>
      <c r="O61" s="143"/>
      <c r="P61" s="143"/>
      <c r="Q61" s="143"/>
      <c r="R61" s="143"/>
      <c r="S61" s="177"/>
      <c r="T61" s="177"/>
      <c r="U61" s="177"/>
      <c r="V61" s="177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>
        <v>10</v>
      </c>
      <c r="B62" s="2" t="s">
        <v>280</v>
      </c>
      <c r="C62" s="133" t="s">
        <v>23</v>
      </c>
      <c r="D62" s="204">
        <v>167208</v>
      </c>
      <c r="E62" s="2" t="s">
        <v>127</v>
      </c>
      <c r="F62" s="2" t="s">
        <v>503</v>
      </c>
      <c r="G62" s="2">
        <v>2</v>
      </c>
      <c r="H62" s="3">
        <v>22</v>
      </c>
      <c r="I62" s="3" t="s">
        <v>34</v>
      </c>
      <c r="J62" s="3" t="s">
        <v>132</v>
      </c>
      <c r="K62" s="4" t="s">
        <v>15</v>
      </c>
      <c r="L62" s="5" t="s">
        <v>16</v>
      </c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>
        <v>10</v>
      </c>
      <c r="B63" s="2">
        <v>430</v>
      </c>
      <c r="C63" s="133" t="s">
        <v>13</v>
      </c>
      <c r="D63" s="204">
        <v>2872</v>
      </c>
      <c r="E63" s="21" t="s">
        <v>139</v>
      </c>
      <c r="F63" s="2" t="s">
        <v>46</v>
      </c>
      <c r="G63" s="2">
        <v>2</v>
      </c>
      <c r="H63" s="3">
        <v>25</v>
      </c>
      <c r="I63" s="8">
        <v>8</v>
      </c>
      <c r="J63" s="3" t="s">
        <v>14</v>
      </c>
      <c r="K63" s="4" t="s">
        <v>15</v>
      </c>
      <c r="L63" s="5" t="s">
        <v>16</v>
      </c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>
        <v>10</v>
      </c>
      <c r="B64" s="2">
        <v>503</v>
      </c>
      <c r="C64" s="133" t="s">
        <v>13</v>
      </c>
      <c r="D64" s="204">
        <v>2863</v>
      </c>
      <c r="E64" s="21" t="s">
        <v>502</v>
      </c>
      <c r="F64" s="2" t="s">
        <v>76</v>
      </c>
      <c r="G64" s="2">
        <v>2</v>
      </c>
      <c r="H64" s="3">
        <v>25</v>
      </c>
      <c r="I64" s="8">
        <v>8</v>
      </c>
      <c r="J64" s="3" t="s">
        <v>26</v>
      </c>
      <c r="K64" s="4" t="s">
        <v>15</v>
      </c>
      <c r="L64" s="5" t="s">
        <v>16</v>
      </c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>
        <v>11</v>
      </c>
      <c r="B65" s="2">
        <v>226</v>
      </c>
      <c r="C65" s="133" t="s">
        <v>22</v>
      </c>
      <c r="D65" s="204">
        <v>167508</v>
      </c>
      <c r="E65" s="21" t="s">
        <v>34</v>
      </c>
      <c r="F65" s="2" t="s">
        <v>476</v>
      </c>
      <c r="G65" s="2">
        <v>2</v>
      </c>
      <c r="H65" s="3">
        <v>66</v>
      </c>
      <c r="I65" s="8">
        <v>16.5</v>
      </c>
      <c r="J65" s="3" t="s">
        <v>39</v>
      </c>
      <c r="K65" s="4" t="s">
        <v>15</v>
      </c>
      <c r="L65" s="5" t="s">
        <v>16</v>
      </c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>
        <v>11</v>
      </c>
      <c r="B66" s="2">
        <v>214</v>
      </c>
      <c r="C66" s="133" t="s">
        <v>22</v>
      </c>
      <c r="D66" s="204">
        <v>173682</v>
      </c>
      <c r="E66" s="2" t="s">
        <v>34</v>
      </c>
      <c r="F66" s="2" t="s">
        <v>523</v>
      </c>
      <c r="G66" s="2">
        <v>2</v>
      </c>
      <c r="H66" s="3">
        <v>102</v>
      </c>
      <c r="I66" s="3">
        <v>25.5</v>
      </c>
      <c r="J66" s="3" t="s">
        <v>39</v>
      </c>
      <c r="K66" s="4" t="s">
        <v>15</v>
      </c>
      <c r="L66" s="5" t="s">
        <v>16</v>
      </c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>
        <v>11</v>
      </c>
      <c r="B67" s="2">
        <v>202</v>
      </c>
      <c r="C67" s="133" t="s">
        <v>13</v>
      </c>
      <c r="D67" s="204">
        <v>2876</v>
      </c>
      <c r="E67" s="16" t="s">
        <v>416</v>
      </c>
      <c r="F67" s="2" t="s">
        <v>76</v>
      </c>
      <c r="G67" s="2">
        <v>4</v>
      </c>
      <c r="H67" s="3">
        <v>40</v>
      </c>
      <c r="I67" s="8">
        <v>12</v>
      </c>
      <c r="J67" s="3" t="s">
        <v>18</v>
      </c>
      <c r="K67" s="4" t="s">
        <v>15</v>
      </c>
      <c r="L67" s="5" t="s">
        <v>16</v>
      </c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>
        <v>11</v>
      </c>
      <c r="B68" s="2" t="s">
        <v>506</v>
      </c>
      <c r="C68" s="133" t="s">
        <v>23</v>
      </c>
      <c r="D68" s="204">
        <v>170337</v>
      </c>
      <c r="E68" s="18" t="s">
        <v>242</v>
      </c>
      <c r="F68" s="2" t="s">
        <v>508</v>
      </c>
      <c r="G68" s="2">
        <v>4</v>
      </c>
      <c r="H68" s="3">
        <v>39</v>
      </c>
      <c r="I68" s="3" t="s">
        <v>34</v>
      </c>
      <c r="J68" s="3" t="s">
        <v>36</v>
      </c>
      <c r="K68" s="4" t="s">
        <v>15</v>
      </c>
      <c r="L68" s="5" t="s">
        <v>16</v>
      </c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>
        <v>11</v>
      </c>
      <c r="B69" s="2" t="s">
        <v>287</v>
      </c>
      <c r="C69" s="133" t="s">
        <v>23</v>
      </c>
      <c r="D69" s="204">
        <v>167313</v>
      </c>
      <c r="E69" s="2" t="s">
        <v>281</v>
      </c>
      <c r="F69" s="2" t="s">
        <v>288</v>
      </c>
      <c r="G69" s="2">
        <v>2</v>
      </c>
      <c r="H69" s="3">
        <v>39</v>
      </c>
      <c r="I69" s="3" t="s">
        <v>34</v>
      </c>
      <c r="J69" s="3" t="s">
        <v>18</v>
      </c>
      <c r="K69" s="2" t="s">
        <v>15</v>
      </c>
      <c r="L69" s="5" t="s">
        <v>16</v>
      </c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>
        <v>11</v>
      </c>
      <c r="B70" s="2">
        <v>210</v>
      </c>
      <c r="C70" s="133" t="s">
        <v>13</v>
      </c>
      <c r="D70" s="204">
        <v>2873</v>
      </c>
      <c r="E70" s="21" t="s">
        <v>142</v>
      </c>
      <c r="F70" s="2" t="s">
        <v>76</v>
      </c>
      <c r="G70" s="2">
        <v>2</v>
      </c>
      <c r="H70" s="3">
        <v>25</v>
      </c>
      <c r="I70" s="8">
        <v>8</v>
      </c>
      <c r="J70" s="3" t="s">
        <v>14</v>
      </c>
      <c r="K70" s="4" t="s">
        <v>15</v>
      </c>
      <c r="L70" s="5" t="s">
        <v>16</v>
      </c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>
        <v>11</v>
      </c>
      <c r="B71" s="2" t="s">
        <v>493</v>
      </c>
      <c r="C71" s="133" t="s">
        <v>13</v>
      </c>
      <c r="D71" s="204">
        <v>2870</v>
      </c>
      <c r="E71" s="166" t="s">
        <v>494</v>
      </c>
      <c r="F71" s="2" t="s">
        <v>495</v>
      </c>
      <c r="G71" s="2">
        <v>2</v>
      </c>
      <c r="H71" s="3">
        <v>35</v>
      </c>
      <c r="I71" s="8">
        <v>10</v>
      </c>
      <c r="J71" s="3" t="s">
        <v>27</v>
      </c>
      <c r="K71" s="4" t="s">
        <v>15</v>
      </c>
      <c r="L71" s="5" t="s">
        <v>16</v>
      </c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2">
        <v>11</v>
      </c>
      <c r="B72" s="2">
        <v>510</v>
      </c>
      <c r="C72" s="133" t="s">
        <v>13</v>
      </c>
      <c r="D72" s="204">
        <v>2879</v>
      </c>
      <c r="E72" s="2" t="s">
        <v>311</v>
      </c>
      <c r="F72" s="2" t="s">
        <v>526</v>
      </c>
      <c r="G72" s="2">
        <v>2</v>
      </c>
      <c r="H72" s="3">
        <v>20</v>
      </c>
      <c r="I72" s="3">
        <v>5</v>
      </c>
      <c r="J72" s="3" t="s">
        <v>39</v>
      </c>
      <c r="K72" s="4" t="s">
        <v>15</v>
      </c>
      <c r="L72" s="5" t="s">
        <v>16</v>
      </c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>
        <v>11</v>
      </c>
      <c r="B73" s="2" t="s">
        <v>506</v>
      </c>
      <c r="C73" s="133" t="s">
        <v>13</v>
      </c>
      <c r="D73" s="204">
        <v>170337</v>
      </c>
      <c r="E73" s="9"/>
      <c r="F73" s="133" t="s">
        <v>509</v>
      </c>
      <c r="G73" s="2">
        <v>4</v>
      </c>
      <c r="H73" s="3">
        <v>16</v>
      </c>
      <c r="I73" s="3">
        <v>3.3</v>
      </c>
      <c r="J73" s="3" t="s">
        <v>36</v>
      </c>
      <c r="K73" s="4" t="s">
        <v>15</v>
      </c>
      <c r="L73" s="5" t="s">
        <v>16</v>
      </c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>
        <v>12</v>
      </c>
      <c r="B74" s="2">
        <v>405</v>
      </c>
      <c r="C74" s="133" t="s">
        <v>13</v>
      </c>
      <c r="D74" s="204">
        <v>170317</v>
      </c>
      <c r="E74" s="21" t="s">
        <v>520</v>
      </c>
      <c r="F74" s="2" t="s">
        <v>521</v>
      </c>
      <c r="G74" s="2">
        <v>1</v>
      </c>
      <c r="H74" s="3">
        <v>25</v>
      </c>
      <c r="I74" s="8">
        <v>8</v>
      </c>
      <c r="J74" s="3" t="s">
        <v>42</v>
      </c>
      <c r="K74" s="4" t="s">
        <v>15</v>
      </c>
      <c r="L74" s="5" t="s">
        <v>16</v>
      </c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>
        <v>12</v>
      </c>
      <c r="B75" s="2">
        <v>530</v>
      </c>
      <c r="C75" s="133" t="s">
        <v>13</v>
      </c>
      <c r="D75" s="204">
        <v>2878</v>
      </c>
      <c r="E75" s="21" t="s">
        <v>195</v>
      </c>
      <c r="F75" s="2" t="s">
        <v>46</v>
      </c>
      <c r="G75" s="2">
        <v>2</v>
      </c>
      <c r="H75" s="3">
        <v>25</v>
      </c>
      <c r="I75" s="8">
        <v>8</v>
      </c>
      <c r="J75" s="3" t="s">
        <v>14</v>
      </c>
      <c r="K75" s="4" t="s">
        <v>15</v>
      </c>
      <c r="L75" s="5" t="s">
        <v>16</v>
      </c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>
        <v>12</v>
      </c>
      <c r="B76" s="2" t="s">
        <v>528</v>
      </c>
      <c r="C76" s="133" t="s">
        <v>13</v>
      </c>
      <c r="D76" s="204">
        <v>2882</v>
      </c>
      <c r="E76" s="21" t="s">
        <v>115</v>
      </c>
      <c r="F76" s="2" t="s">
        <v>240</v>
      </c>
      <c r="G76" s="2">
        <v>2</v>
      </c>
      <c r="H76" s="3">
        <v>35</v>
      </c>
      <c r="I76" s="8">
        <v>10</v>
      </c>
      <c r="J76" s="3" t="s">
        <v>26</v>
      </c>
      <c r="K76" s="4" t="s">
        <v>15</v>
      </c>
      <c r="L76" s="5" t="s">
        <v>16</v>
      </c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>
        <v>12</v>
      </c>
      <c r="B77" s="2" t="s">
        <v>482</v>
      </c>
      <c r="C77" s="133" t="s">
        <v>13</v>
      </c>
      <c r="D77" s="204">
        <v>447</v>
      </c>
      <c r="E77" s="166" t="s">
        <v>483</v>
      </c>
      <c r="F77" s="2" t="s">
        <v>266</v>
      </c>
      <c r="G77" s="2">
        <v>2</v>
      </c>
      <c r="H77" s="3">
        <v>35</v>
      </c>
      <c r="I77" s="8">
        <v>10</v>
      </c>
      <c r="J77" s="3" t="s">
        <v>27</v>
      </c>
      <c r="K77" s="4" t="s">
        <v>15</v>
      </c>
      <c r="L77" s="5" t="s">
        <v>16</v>
      </c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>
        <v>12</v>
      </c>
      <c r="B78" s="2">
        <v>529</v>
      </c>
      <c r="C78" s="133" t="s">
        <v>13</v>
      </c>
      <c r="D78" s="204">
        <v>2880</v>
      </c>
      <c r="E78" s="2" t="s">
        <v>402</v>
      </c>
      <c r="F78" s="2" t="s">
        <v>76</v>
      </c>
      <c r="G78" s="2">
        <v>2</v>
      </c>
      <c r="H78" s="3">
        <v>25</v>
      </c>
      <c r="I78" s="3">
        <v>8</v>
      </c>
      <c r="J78" s="3" t="s">
        <v>27</v>
      </c>
      <c r="K78" s="4" t="s">
        <v>15</v>
      </c>
      <c r="L78" s="5" t="s">
        <v>16</v>
      </c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>
        <v>13</v>
      </c>
      <c r="B79" s="2">
        <v>509</v>
      </c>
      <c r="C79" s="133" t="s">
        <v>13</v>
      </c>
      <c r="D79" s="204">
        <v>2884</v>
      </c>
      <c r="E79" s="2" t="s">
        <v>153</v>
      </c>
      <c r="F79" s="2" t="s">
        <v>76</v>
      </c>
      <c r="G79" s="2">
        <v>2</v>
      </c>
      <c r="H79" s="3">
        <v>25</v>
      </c>
      <c r="I79" s="8">
        <v>8</v>
      </c>
      <c r="J79" s="3" t="s">
        <v>18</v>
      </c>
      <c r="K79" s="4" t="s">
        <v>15</v>
      </c>
      <c r="L79" s="5" t="s">
        <v>16</v>
      </c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>
        <v>13</v>
      </c>
      <c r="B80" s="2">
        <v>319</v>
      </c>
      <c r="C80" s="133" t="s">
        <v>13</v>
      </c>
      <c r="D80" s="204">
        <v>2883</v>
      </c>
      <c r="E80" s="2" t="s">
        <v>127</v>
      </c>
      <c r="F80" s="2" t="s">
        <v>76</v>
      </c>
      <c r="G80" s="2">
        <v>2</v>
      </c>
      <c r="H80" s="3">
        <v>25</v>
      </c>
      <c r="I80" s="8">
        <v>8</v>
      </c>
      <c r="J80" s="3" t="s">
        <v>26</v>
      </c>
      <c r="K80" s="4" t="s">
        <v>15</v>
      </c>
      <c r="L80" s="5" t="s">
        <v>16</v>
      </c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>
        <v>13</v>
      </c>
      <c r="B81" s="2" t="s">
        <v>530</v>
      </c>
      <c r="C81" s="133" t="s">
        <v>13</v>
      </c>
      <c r="D81" s="204">
        <v>169834</v>
      </c>
      <c r="E81" s="2" t="s">
        <v>137</v>
      </c>
      <c r="F81" s="2" t="s">
        <v>531</v>
      </c>
      <c r="G81" s="2">
        <v>2</v>
      </c>
      <c r="H81" s="3">
        <v>35</v>
      </c>
      <c r="I81" s="8">
        <v>10</v>
      </c>
      <c r="J81" s="3" t="s">
        <v>36</v>
      </c>
      <c r="K81" s="4" t="s">
        <v>15</v>
      </c>
      <c r="L81" s="5" t="s">
        <v>16</v>
      </c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>
        <v>14</v>
      </c>
      <c r="B82" s="2" t="s">
        <v>289</v>
      </c>
      <c r="C82" s="133" t="s">
        <v>23</v>
      </c>
      <c r="D82" s="204">
        <v>171914</v>
      </c>
      <c r="E82" s="2" t="s">
        <v>284</v>
      </c>
      <c r="F82" s="2" t="s">
        <v>290</v>
      </c>
      <c r="G82" s="2">
        <v>4</v>
      </c>
      <c r="H82" s="3">
        <v>50</v>
      </c>
      <c r="I82" s="8" t="s">
        <v>34</v>
      </c>
      <c r="J82" s="3" t="s">
        <v>18</v>
      </c>
      <c r="K82" s="4" t="s">
        <v>15</v>
      </c>
      <c r="L82" s="5" t="s">
        <v>16</v>
      </c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>
        <v>14</v>
      </c>
      <c r="B83" s="2">
        <v>203</v>
      </c>
      <c r="C83" s="133" t="s">
        <v>17</v>
      </c>
      <c r="D83" s="204">
        <v>3256</v>
      </c>
      <c r="E83" s="2" t="s">
        <v>96</v>
      </c>
      <c r="F83" s="2" t="s">
        <v>529</v>
      </c>
      <c r="G83" s="2">
        <v>2</v>
      </c>
      <c r="H83" s="3">
        <v>138</v>
      </c>
      <c r="I83" s="8">
        <v>41.4</v>
      </c>
      <c r="J83" s="3" t="s">
        <v>26</v>
      </c>
      <c r="K83" s="4" t="s">
        <v>15</v>
      </c>
      <c r="L83" s="5" t="s">
        <v>15</v>
      </c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>
        <v>14</v>
      </c>
      <c r="B84" s="2">
        <v>321</v>
      </c>
      <c r="C84" s="133" t="s">
        <v>13</v>
      </c>
      <c r="D84" s="204">
        <v>2886</v>
      </c>
      <c r="E84" s="9" t="s">
        <v>127</v>
      </c>
      <c r="F84" s="2" t="s">
        <v>76</v>
      </c>
      <c r="G84" s="2">
        <v>2</v>
      </c>
      <c r="H84" s="3">
        <v>25</v>
      </c>
      <c r="I84" s="8">
        <v>8</v>
      </c>
      <c r="J84" s="3" t="s">
        <v>26</v>
      </c>
      <c r="K84" s="4" t="s">
        <v>15</v>
      </c>
      <c r="L84" s="5" t="s">
        <v>16</v>
      </c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>
        <v>14</v>
      </c>
      <c r="B85" s="2" t="s">
        <v>533</v>
      </c>
      <c r="C85" s="133" t="s">
        <v>13</v>
      </c>
      <c r="D85" s="204">
        <v>2890</v>
      </c>
      <c r="E85" s="21" t="s">
        <v>311</v>
      </c>
      <c r="F85" s="2" t="s">
        <v>534</v>
      </c>
      <c r="G85" s="2">
        <v>2</v>
      </c>
      <c r="H85" s="3">
        <v>35</v>
      </c>
      <c r="I85" s="8">
        <v>10</v>
      </c>
      <c r="J85" s="3" t="s">
        <v>27</v>
      </c>
      <c r="K85" s="4" t="s">
        <v>15</v>
      </c>
      <c r="L85" s="5" t="s">
        <v>16</v>
      </c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>
        <v>15</v>
      </c>
      <c r="B86" s="2">
        <v>112</v>
      </c>
      <c r="C86" s="133" t="s">
        <v>13</v>
      </c>
      <c r="D86" s="204">
        <v>2887</v>
      </c>
      <c r="E86" s="21" t="s">
        <v>296</v>
      </c>
      <c r="F86" s="2" t="s">
        <v>76</v>
      </c>
      <c r="G86" s="2">
        <v>2</v>
      </c>
      <c r="H86" s="3">
        <v>25</v>
      </c>
      <c r="I86" s="8">
        <v>8</v>
      </c>
      <c r="J86" s="3" t="s">
        <v>26</v>
      </c>
      <c r="K86" s="4" t="s">
        <v>15</v>
      </c>
      <c r="L86" s="5" t="s">
        <v>16</v>
      </c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>
        <v>15</v>
      </c>
      <c r="B87" s="2">
        <v>219</v>
      </c>
      <c r="C87" s="133" t="s">
        <v>13</v>
      </c>
      <c r="D87" s="204">
        <v>2892</v>
      </c>
      <c r="E87" s="2" t="s">
        <v>126</v>
      </c>
      <c r="F87" s="2" t="s">
        <v>76</v>
      </c>
      <c r="G87" s="2">
        <v>2</v>
      </c>
      <c r="H87" s="3">
        <v>25</v>
      </c>
      <c r="I87" s="8">
        <v>8</v>
      </c>
      <c r="J87" s="3" t="s">
        <v>27</v>
      </c>
      <c r="K87" s="4" t="s">
        <v>15</v>
      </c>
      <c r="L87" s="5" t="s">
        <v>16</v>
      </c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>
        <v>15</v>
      </c>
      <c r="B88" s="2">
        <v>403</v>
      </c>
      <c r="C88" s="133" t="s">
        <v>13</v>
      </c>
      <c r="D88" s="204">
        <v>2895</v>
      </c>
      <c r="E88" s="2" t="s">
        <v>126</v>
      </c>
      <c r="F88" s="2" t="s">
        <v>76</v>
      </c>
      <c r="G88" s="2">
        <v>2</v>
      </c>
      <c r="H88" s="3">
        <v>25</v>
      </c>
      <c r="I88" s="8">
        <v>8</v>
      </c>
      <c r="J88" s="3" t="s">
        <v>26</v>
      </c>
      <c r="K88" s="4" t="s">
        <v>15</v>
      </c>
      <c r="L88" s="5" t="s">
        <v>16</v>
      </c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>
        <v>15</v>
      </c>
      <c r="B89" s="2">
        <v>321</v>
      </c>
      <c r="C89" s="133" t="s">
        <v>13</v>
      </c>
      <c r="D89" s="204">
        <v>2891</v>
      </c>
      <c r="E89" s="2" t="s">
        <v>413</v>
      </c>
      <c r="F89" s="2" t="s">
        <v>76</v>
      </c>
      <c r="G89" s="2">
        <v>2</v>
      </c>
      <c r="H89" s="3">
        <v>25</v>
      </c>
      <c r="I89" s="8">
        <v>8</v>
      </c>
      <c r="J89" s="3" t="s">
        <v>27</v>
      </c>
      <c r="K89" s="4" t="s">
        <v>15</v>
      </c>
      <c r="L89" s="5" t="s">
        <v>16</v>
      </c>
      <c r="M89" s="144"/>
      <c r="N89" s="143"/>
      <c r="O89" s="175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>
        <v>15</v>
      </c>
      <c r="B90" s="2">
        <v>312</v>
      </c>
      <c r="C90" s="133" t="s">
        <v>23</v>
      </c>
      <c r="D90" s="204">
        <v>173959</v>
      </c>
      <c r="E90" s="2" t="s">
        <v>153</v>
      </c>
      <c r="F90" s="2" t="s">
        <v>76</v>
      </c>
      <c r="G90" s="2">
        <v>1</v>
      </c>
      <c r="H90" s="3">
        <v>22</v>
      </c>
      <c r="I90" s="8" t="s">
        <v>34</v>
      </c>
      <c r="J90" s="3" t="s">
        <v>26</v>
      </c>
      <c r="K90" s="4" t="s">
        <v>15</v>
      </c>
      <c r="L90" s="5" t="s">
        <v>16</v>
      </c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>
        <v>15</v>
      </c>
      <c r="B91" s="2" t="s">
        <v>292</v>
      </c>
      <c r="C91" s="133" t="s">
        <v>13</v>
      </c>
      <c r="D91" s="204">
        <v>2640</v>
      </c>
      <c r="E91" s="2" t="s">
        <v>96</v>
      </c>
      <c r="F91" s="2" t="s">
        <v>293</v>
      </c>
      <c r="G91" s="2">
        <v>2</v>
      </c>
      <c r="H91" s="3">
        <v>35</v>
      </c>
      <c r="I91" s="8">
        <v>10</v>
      </c>
      <c r="J91" s="3" t="s">
        <v>33</v>
      </c>
      <c r="K91" s="4" t="s">
        <v>15</v>
      </c>
      <c r="L91" s="5" t="s">
        <v>16</v>
      </c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>
        <v>15</v>
      </c>
      <c r="B92" s="2">
        <v>216</v>
      </c>
      <c r="C92" s="133" t="s">
        <v>17</v>
      </c>
      <c r="D92" s="204">
        <v>3255</v>
      </c>
      <c r="E92" s="2" t="s">
        <v>96</v>
      </c>
      <c r="F92" s="2" t="s">
        <v>529</v>
      </c>
      <c r="G92" s="2">
        <v>2</v>
      </c>
      <c r="H92" s="3">
        <v>138</v>
      </c>
      <c r="I92" s="8">
        <v>41.4</v>
      </c>
      <c r="J92" s="3" t="s">
        <v>14</v>
      </c>
      <c r="K92" s="4" t="s">
        <v>15</v>
      </c>
      <c r="L92" s="5" t="s">
        <v>15</v>
      </c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>
        <v>15</v>
      </c>
      <c r="B93" s="2" t="s">
        <v>536</v>
      </c>
      <c r="C93" s="133" t="s">
        <v>13</v>
      </c>
      <c r="D93" s="204">
        <v>2897</v>
      </c>
      <c r="E93" s="2" t="s">
        <v>249</v>
      </c>
      <c r="F93" s="2" t="s">
        <v>539</v>
      </c>
      <c r="G93" s="2">
        <v>2</v>
      </c>
      <c r="H93" s="3">
        <v>35</v>
      </c>
      <c r="I93" s="8">
        <v>10</v>
      </c>
      <c r="J93" s="3" t="s">
        <v>14</v>
      </c>
      <c r="K93" s="4" t="s">
        <v>15</v>
      </c>
      <c r="L93" s="5" t="s">
        <v>16</v>
      </c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>
        <v>15</v>
      </c>
      <c r="B94" s="2" t="s">
        <v>291</v>
      </c>
      <c r="C94" s="133" t="s">
        <v>23</v>
      </c>
      <c r="D94" s="204">
        <v>158550</v>
      </c>
      <c r="E94" s="2" t="s">
        <v>238</v>
      </c>
      <c r="F94" s="2" t="s">
        <v>158</v>
      </c>
      <c r="G94" s="2">
        <v>2</v>
      </c>
      <c r="H94" s="3">
        <v>39</v>
      </c>
      <c r="I94" s="8" t="s">
        <v>34</v>
      </c>
      <c r="J94" s="3" t="s">
        <v>18</v>
      </c>
      <c r="K94" s="4" t="s">
        <v>15</v>
      </c>
      <c r="L94" s="5" t="s">
        <v>16</v>
      </c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>
        <v>16</v>
      </c>
      <c r="B95" s="2">
        <v>429</v>
      </c>
      <c r="C95" s="133" t="s">
        <v>13</v>
      </c>
      <c r="D95" s="204">
        <v>2894</v>
      </c>
      <c r="E95" s="2" t="s">
        <v>535</v>
      </c>
      <c r="F95" s="2" t="s">
        <v>78</v>
      </c>
      <c r="G95" s="2">
        <v>2</v>
      </c>
      <c r="H95" s="3">
        <v>25</v>
      </c>
      <c r="I95" s="3">
        <v>8</v>
      </c>
      <c r="J95" s="3" t="s">
        <v>26</v>
      </c>
      <c r="K95" s="4" t="s">
        <v>15</v>
      </c>
      <c r="L95" s="5" t="s">
        <v>16</v>
      </c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>
        <v>16</v>
      </c>
      <c r="B96" s="2" t="s">
        <v>541</v>
      </c>
      <c r="C96" s="133" t="s">
        <v>17</v>
      </c>
      <c r="D96" s="204">
        <v>2592</v>
      </c>
      <c r="E96" s="2" t="s">
        <v>108</v>
      </c>
      <c r="F96" s="2" t="s">
        <v>97</v>
      </c>
      <c r="G96" s="2">
        <v>2</v>
      </c>
      <c r="H96" s="3">
        <v>138</v>
      </c>
      <c r="I96" s="8">
        <v>41.4</v>
      </c>
      <c r="J96" s="3" t="s">
        <v>98</v>
      </c>
      <c r="K96" s="4" t="s">
        <v>15</v>
      </c>
      <c r="L96" s="5" t="s">
        <v>15</v>
      </c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>
        <v>16</v>
      </c>
      <c r="B97" s="2" t="s">
        <v>540</v>
      </c>
      <c r="C97" s="133" t="s">
        <v>13</v>
      </c>
      <c r="D97" s="204">
        <v>437</v>
      </c>
      <c r="E97" s="2" t="s">
        <v>115</v>
      </c>
      <c r="F97" s="2" t="s">
        <v>246</v>
      </c>
      <c r="G97" s="2">
        <v>2</v>
      </c>
      <c r="H97" s="3">
        <v>35</v>
      </c>
      <c r="I97" s="3">
        <v>10</v>
      </c>
      <c r="J97" s="3" t="s">
        <v>36</v>
      </c>
      <c r="K97" s="4" t="s">
        <v>15</v>
      </c>
      <c r="L97" s="5" t="s">
        <v>16</v>
      </c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>
        <v>16</v>
      </c>
      <c r="B98" s="2">
        <v>607</v>
      </c>
      <c r="C98" s="133" t="s">
        <v>13</v>
      </c>
      <c r="D98" s="204">
        <v>2900</v>
      </c>
      <c r="E98" s="2" t="s">
        <v>430</v>
      </c>
      <c r="F98" s="2" t="s">
        <v>76</v>
      </c>
      <c r="G98" s="2">
        <v>2</v>
      </c>
      <c r="H98" s="3">
        <v>25</v>
      </c>
      <c r="I98" s="3">
        <v>8</v>
      </c>
      <c r="J98" s="3" t="s">
        <v>27</v>
      </c>
      <c r="K98" s="4" t="s">
        <v>15</v>
      </c>
      <c r="L98" s="5" t="s">
        <v>16</v>
      </c>
      <c r="M98" s="144"/>
      <c r="N98" s="143"/>
      <c r="O98" s="143"/>
      <c r="P98" s="143"/>
      <c r="Q98" s="143"/>
      <c r="R98" s="175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>
        <v>17</v>
      </c>
      <c r="B99" s="2">
        <v>309</v>
      </c>
      <c r="C99" s="133" t="s">
        <v>22</v>
      </c>
      <c r="D99" s="204">
        <v>153269</v>
      </c>
      <c r="E99" s="2" t="s">
        <v>34</v>
      </c>
      <c r="F99" s="2" t="s">
        <v>100</v>
      </c>
      <c r="G99" s="2">
        <v>2</v>
      </c>
      <c r="H99" s="3">
        <v>66</v>
      </c>
      <c r="I99" s="3">
        <v>16.5</v>
      </c>
      <c r="J99" s="3" t="s">
        <v>26</v>
      </c>
      <c r="K99" s="4" t="s">
        <v>15</v>
      </c>
      <c r="L99" s="5" t="s">
        <v>16</v>
      </c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>
        <v>17</v>
      </c>
      <c r="B100" s="2" t="s">
        <v>548</v>
      </c>
      <c r="C100" s="133" t="s">
        <v>23</v>
      </c>
      <c r="D100" s="204">
        <v>167313</v>
      </c>
      <c r="E100" s="2" t="s">
        <v>296</v>
      </c>
      <c r="F100" s="2" t="s">
        <v>76</v>
      </c>
      <c r="G100" s="2">
        <v>2</v>
      </c>
      <c r="H100" s="3">
        <v>22</v>
      </c>
      <c r="I100" s="3" t="s">
        <v>34</v>
      </c>
      <c r="J100" s="3" t="s">
        <v>18</v>
      </c>
      <c r="K100" s="4" t="s">
        <v>15</v>
      </c>
      <c r="L100" s="5" t="s">
        <v>16</v>
      </c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>
        <v>17</v>
      </c>
      <c r="B101" s="2">
        <v>313</v>
      </c>
      <c r="C101" s="133" t="s">
        <v>13</v>
      </c>
      <c r="D101" s="204">
        <v>454</v>
      </c>
      <c r="E101" s="2" t="s">
        <v>153</v>
      </c>
      <c r="F101" s="2" t="s">
        <v>78</v>
      </c>
      <c r="G101" s="2">
        <v>1</v>
      </c>
      <c r="H101" s="3">
        <v>25</v>
      </c>
      <c r="I101" s="3">
        <v>8</v>
      </c>
      <c r="J101" s="3" t="s">
        <v>27</v>
      </c>
      <c r="K101" s="4" t="s">
        <v>15</v>
      </c>
      <c r="L101" s="5" t="s">
        <v>16</v>
      </c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>
        <v>17</v>
      </c>
      <c r="B102" s="2" t="s">
        <v>294</v>
      </c>
      <c r="C102" s="133" t="s">
        <v>23</v>
      </c>
      <c r="D102" s="204">
        <v>170617</v>
      </c>
      <c r="E102" s="2" t="s">
        <v>96</v>
      </c>
      <c r="F102" s="2" t="s">
        <v>295</v>
      </c>
      <c r="G102" s="2">
        <v>2</v>
      </c>
      <c r="H102" s="3">
        <v>39</v>
      </c>
      <c r="I102" s="3" t="s">
        <v>34</v>
      </c>
      <c r="J102" s="3" t="s">
        <v>14</v>
      </c>
      <c r="K102" s="4" t="s">
        <v>15</v>
      </c>
      <c r="L102" s="5" t="s">
        <v>16</v>
      </c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>
        <v>17</v>
      </c>
      <c r="B103" s="2" t="s">
        <v>549</v>
      </c>
      <c r="C103" s="133" t="s">
        <v>17</v>
      </c>
      <c r="D103" s="204">
        <v>3251</v>
      </c>
      <c r="E103" s="2" t="s">
        <v>96</v>
      </c>
      <c r="F103" s="2" t="s">
        <v>390</v>
      </c>
      <c r="G103" s="2">
        <v>2</v>
      </c>
      <c r="H103" s="3">
        <v>158</v>
      </c>
      <c r="I103" s="3">
        <v>47.4</v>
      </c>
      <c r="J103" s="3" t="s">
        <v>19</v>
      </c>
      <c r="K103" s="4" t="s">
        <v>15</v>
      </c>
      <c r="L103" s="5" t="s">
        <v>15</v>
      </c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>
        <v>17</v>
      </c>
      <c r="B104" s="2">
        <v>206</v>
      </c>
      <c r="C104" s="133" t="s">
        <v>13</v>
      </c>
      <c r="D104" s="204">
        <v>452</v>
      </c>
      <c r="E104" s="2" t="s">
        <v>107</v>
      </c>
      <c r="F104" s="2" t="s">
        <v>76</v>
      </c>
      <c r="G104" s="2">
        <v>4</v>
      </c>
      <c r="H104" s="3">
        <v>40</v>
      </c>
      <c r="I104" s="3">
        <v>12</v>
      </c>
      <c r="J104" s="3" t="s">
        <v>39</v>
      </c>
      <c r="K104" s="4" t="s">
        <v>15</v>
      </c>
      <c r="L104" s="5" t="s">
        <v>16</v>
      </c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>
        <v>17</v>
      </c>
      <c r="B105" s="2">
        <v>317</v>
      </c>
      <c r="C105" s="133" t="s">
        <v>13</v>
      </c>
      <c r="D105" s="204">
        <v>455</v>
      </c>
      <c r="E105" s="2" t="s">
        <v>322</v>
      </c>
      <c r="F105" s="2" t="s">
        <v>76</v>
      </c>
      <c r="G105" s="2">
        <v>2</v>
      </c>
      <c r="H105" s="3">
        <v>25</v>
      </c>
      <c r="I105" s="3">
        <v>8</v>
      </c>
      <c r="J105" s="3" t="s">
        <v>39</v>
      </c>
      <c r="K105" s="4" t="s">
        <v>15</v>
      </c>
      <c r="L105" s="5" t="s">
        <v>16</v>
      </c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>
        <v>17</v>
      </c>
      <c r="B106" s="2" t="s">
        <v>547</v>
      </c>
      <c r="C106" s="133" t="s">
        <v>23</v>
      </c>
      <c r="D106" s="204">
        <v>167198</v>
      </c>
      <c r="E106" s="2" t="s">
        <v>402</v>
      </c>
      <c r="F106" s="2" t="s">
        <v>76</v>
      </c>
      <c r="G106" s="2">
        <v>2</v>
      </c>
      <c r="H106" s="3">
        <v>22</v>
      </c>
      <c r="I106" s="3" t="s">
        <v>34</v>
      </c>
      <c r="J106" s="3" t="s">
        <v>19</v>
      </c>
      <c r="K106" s="4" t="s">
        <v>15</v>
      </c>
      <c r="L106" s="5" t="s">
        <v>16</v>
      </c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>
        <v>17</v>
      </c>
      <c r="B107" s="2" t="s">
        <v>550</v>
      </c>
      <c r="C107" s="133" t="s">
        <v>13</v>
      </c>
      <c r="D107" s="204">
        <v>457</v>
      </c>
      <c r="E107" s="2" t="s">
        <v>134</v>
      </c>
      <c r="F107" s="2" t="s">
        <v>240</v>
      </c>
      <c r="G107" s="2">
        <v>1</v>
      </c>
      <c r="H107" s="3">
        <v>35</v>
      </c>
      <c r="I107" s="3">
        <v>10</v>
      </c>
      <c r="J107" s="3" t="s">
        <v>26</v>
      </c>
      <c r="K107" s="4" t="s">
        <v>15</v>
      </c>
      <c r="L107" s="5" t="s">
        <v>16</v>
      </c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>
        <v>18</v>
      </c>
      <c r="B108" s="2">
        <v>324</v>
      </c>
      <c r="C108" s="133" t="s">
        <v>22</v>
      </c>
      <c r="D108" s="204">
        <v>152797</v>
      </c>
      <c r="E108" s="2" t="s">
        <v>34</v>
      </c>
      <c r="F108" s="2" t="s">
        <v>100</v>
      </c>
      <c r="G108" s="2">
        <v>4</v>
      </c>
      <c r="H108" s="3">
        <v>132</v>
      </c>
      <c r="I108" s="3">
        <v>33</v>
      </c>
      <c r="J108" s="3" t="s">
        <v>26</v>
      </c>
      <c r="K108" s="4" t="s">
        <v>15</v>
      </c>
      <c r="L108" s="5" t="s">
        <v>16</v>
      </c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>
        <v>18</v>
      </c>
      <c r="B109" s="2">
        <v>221</v>
      </c>
      <c r="C109" s="133" t="s">
        <v>13</v>
      </c>
      <c r="D109" s="204">
        <v>458</v>
      </c>
      <c r="E109" s="21" t="s">
        <v>296</v>
      </c>
      <c r="F109" s="2" t="s">
        <v>76</v>
      </c>
      <c r="G109" s="2">
        <v>2</v>
      </c>
      <c r="H109" s="3">
        <v>25</v>
      </c>
      <c r="I109" s="8">
        <v>8</v>
      </c>
      <c r="J109" s="3" t="s">
        <v>18</v>
      </c>
      <c r="K109" s="4" t="s">
        <v>15</v>
      </c>
      <c r="L109" s="5" t="s">
        <v>16</v>
      </c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>
        <v>18</v>
      </c>
      <c r="B110" s="2" t="s">
        <v>556</v>
      </c>
      <c r="C110" s="133" t="s">
        <v>13</v>
      </c>
      <c r="D110" s="204">
        <v>463</v>
      </c>
      <c r="E110" s="2" t="s">
        <v>557</v>
      </c>
      <c r="F110" s="2" t="s">
        <v>76</v>
      </c>
      <c r="G110" s="2">
        <v>2</v>
      </c>
      <c r="H110" s="3">
        <v>25</v>
      </c>
      <c r="I110" s="3">
        <v>8</v>
      </c>
      <c r="J110" s="3" t="s">
        <v>558</v>
      </c>
      <c r="K110" s="4" t="s">
        <v>15</v>
      </c>
      <c r="L110" s="5" t="s">
        <v>16</v>
      </c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>
        <v>18</v>
      </c>
      <c r="B111" s="2" t="s">
        <v>297</v>
      </c>
      <c r="C111" s="133" t="s">
        <v>13</v>
      </c>
      <c r="D111" s="204">
        <v>2873</v>
      </c>
      <c r="E111" s="2" t="s">
        <v>91</v>
      </c>
      <c r="F111" s="2" t="s">
        <v>298</v>
      </c>
      <c r="G111" s="2">
        <v>2</v>
      </c>
      <c r="H111" s="3">
        <v>35</v>
      </c>
      <c r="I111" s="3">
        <v>10</v>
      </c>
      <c r="J111" s="3" t="s">
        <v>98</v>
      </c>
      <c r="K111" s="4" t="s">
        <v>15</v>
      </c>
      <c r="L111" s="5" t="s">
        <v>16</v>
      </c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>
        <v>18</v>
      </c>
      <c r="B112" s="2" t="s">
        <v>300</v>
      </c>
      <c r="C112" s="133" t="s">
        <v>13</v>
      </c>
      <c r="D112" s="204">
        <v>2807</v>
      </c>
      <c r="E112" s="2" t="s">
        <v>238</v>
      </c>
      <c r="F112" s="2" t="s">
        <v>574</v>
      </c>
      <c r="G112" s="2">
        <v>1</v>
      </c>
      <c r="H112" s="3">
        <v>35</v>
      </c>
      <c r="I112" s="8">
        <v>10</v>
      </c>
      <c r="J112" s="3" t="s">
        <v>14</v>
      </c>
      <c r="K112" s="4" t="s">
        <v>15</v>
      </c>
      <c r="L112" s="5" t="s">
        <v>16</v>
      </c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>
        <v>18</v>
      </c>
      <c r="B113" s="2" t="s">
        <v>579</v>
      </c>
      <c r="C113" s="133" t="s">
        <v>13</v>
      </c>
      <c r="D113" s="204">
        <v>462</v>
      </c>
      <c r="E113" s="2" t="s">
        <v>578</v>
      </c>
      <c r="F113" s="2" t="s">
        <v>577</v>
      </c>
      <c r="G113" s="2">
        <v>2</v>
      </c>
      <c r="H113" s="3">
        <v>35</v>
      </c>
      <c r="I113" s="3">
        <v>10</v>
      </c>
      <c r="J113" s="3" t="s">
        <v>26</v>
      </c>
      <c r="K113" s="4" t="s">
        <v>15</v>
      </c>
      <c r="L113" s="5" t="s">
        <v>16</v>
      </c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>
        <v>19</v>
      </c>
      <c r="B114" s="2" t="s">
        <v>575</v>
      </c>
      <c r="C114" s="133" t="s">
        <v>13</v>
      </c>
      <c r="D114" s="204">
        <v>465</v>
      </c>
      <c r="E114" s="2" t="s">
        <v>562</v>
      </c>
      <c r="F114" s="2" t="s">
        <v>76</v>
      </c>
      <c r="G114" s="2">
        <v>2</v>
      </c>
      <c r="H114" s="3">
        <v>25</v>
      </c>
      <c r="I114" s="3">
        <v>8</v>
      </c>
      <c r="J114" s="3" t="s">
        <v>42</v>
      </c>
      <c r="K114" s="4" t="s">
        <v>15</v>
      </c>
      <c r="L114" s="5" t="s">
        <v>16</v>
      </c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>
        <v>19</v>
      </c>
      <c r="B115" s="2" t="s">
        <v>299</v>
      </c>
      <c r="C115" s="133" t="s">
        <v>23</v>
      </c>
      <c r="D115" s="204">
        <v>171381</v>
      </c>
      <c r="E115" s="2" t="s">
        <v>127</v>
      </c>
      <c r="F115" s="2" t="s">
        <v>250</v>
      </c>
      <c r="G115" s="2">
        <v>1</v>
      </c>
      <c r="H115" s="3">
        <v>39</v>
      </c>
      <c r="I115" s="3" t="s">
        <v>34</v>
      </c>
      <c r="J115" s="3" t="s">
        <v>18</v>
      </c>
      <c r="K115" s="4" t="s">
        <v>15</v>
      </c>
      <c r="L115" s="5" t="s">
        <v>16</v>
      </c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>
        <v>19</v>
      </c>
      <c r="B116" s="2" t="s">
        <v>301</v>
      </c>
      <c r="C116" s="133" t="s">
        <v>23</v>
      </c>
      <c r="D116" s="204">
        <v>171305</v>
      </c>
      <c r="E116" s="2" t="s">
        <v>115</v>
      </c>
      <c r="F116" s="2" t="s">
        <v>246</v>
      </c>
      <c r="G116" s="2">
        <v>6</v>
      </c>
      <c r="H116" s="3">
        <v>55</v>
      </c>
      <c r="I116" s="3" t="s">
        <v>34</v>
      </c>
      <c r="J116" s="3" t="s">
        <v>132</v>
      </c>
      <c r="K116" s="4" t="s">
        <v>15</v>
      </c>
      <c r="L116" s="5" t="s">
        <v>16</v>
      </c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>
        <v>19</v>
      </c>
      <c r="B117" s="2" t="s">
        <v>302</v>
      </c>
      <c r="C117" s="133" t="s">
        <v>23</v>
      </c>
      <c r="D117" s="204">
        <v>173038</v>
      </c>
      <c r="E117" s="2" t="s">
        <v>252</v>
      </c>
      <c r="F117" s="2" t="s">
        <v>253</v>
      </c>
      <c r="G117" s="2">
        <v>2</v>
      </c>
      <c r="H117" s="3">
        <v>39</v>
      </c>
      <c r="I117" s="3" t="s">
        <v>34</v>
      </c>
      <c r="J117" s="3" t="s">
        <v>27</v>
      </c>
      <c r="K117" s="4" t="s">
        <v>15</v>
      </c>
      <c r="L117" s="5" t="s">
        <v>16</v>
      </c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>
        <v>19</v>
      </c>
      <c r="B118" s="2" t="s">
        <v>419</v>
      </c>
      <c r="C118" s="133" t="s">
        <v>13</v>
      </c>
      <c r="D118" s="204">
        <v>172528</v>
      </c>
      <c r="E118" s="2" t="s">
        <v>252</v>
      </c>
      <c r="F118" s="2" t="s">
        <v>253</v>
      </c>
      <c r="G118" s="2">
        <v>4</v>
      </c>
      <c r="H118" s="3">
        <v>45</v>
      </c>
      <c r="I118" s="3">
        <v>10</v>
      </c>
      <c r="J118" s="3" t="s">
        <v>36</v>
      </c>
      <c r="K118" s="4" t="s">
        <v>15</v>
      </c>
      <c r="L118" s="5" t="s">
        <v>16</v>
      </c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>
        <v>19</v>
      </c>
      <c r="B119" s="2" t="s">
        <v>507</v>
      </c>
      <c r="C119" s="133" t="s">
        <v>13</v>
      </c>
      <c r="D119" s="204">
        <v>2874</v>
      </c>
      <c r="E119" s="2" t="s">
        <v>278</v>
      </c>
      <c r="F119" s="2" t="s">
        <v>512</v>
      </c>
      <c r="G119" s="2">
        <v>2</v>
      </c>
      <c r="H119" s="3">
        <v>35</v>
      </c>
      <c r="I119" s="3">
        <v>10</v>
      </c>
      <c r="J119" s="3" t="s">
        <v>14</v>
      </c>
      <c r="K119" s="4" t="s">
        <v>15</v>
      </c>
      <c r="L119" s="5" t="s">
        <v>16</v>
      </c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>
        <v>19</v>
      </c>
      <c r="B120" s="2" t="s">
        <v>527</v>
      </c>
      <c r="C120" s="133" t="s">
        <v>13</v>
      </c>
      <c r="D120" s="204">
        <v>2881</v>
      </c>
      <c r="E120" s="2" t="s">
        <v>166</v>
      </c>
      <c r="F120" s="2" t="s">
        <v>551</v>
      </c>
      <c r="G120" s="2">
        <v>2</v>
      </c>
      <c r="H120" s="3">
        <v>35</v>
      </c>
      <c r="I120" s="3">
        <v>10</v>
      </c>
      <c r="J120" s="3" t="s">
        <v>26</v>
      </c>
      <c r="K120" s="4" t="s">
        <v>15</v>
      </c>
      <c r="L120" s="5" t="s">
        <v>16</v>
      </c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>
        <v>19</v>
      </c>
      <c r="B121" s="2" t="s">
        <v>576</v>
      </c>
      <c r="C121" s="133" t="s">
        <v>13</v>
      </c>
      <c r="D121" s="204">
        <v>461</v>
      </c>
      <c r="E121" s="2" t="s">
        <v>554</v>
      </c>
      <c r="F121" s="2" t="s">
        <v>76</v>
      </c>
      <c r="G121" s="2">
        <v>2</v>
      </c>
      <c r="H121" s="3">
        <v>25</v>
      </c>
      <c r="I121" s="3">
        <v>8</v>
      </c>
      <c r="J121" s="3" t="s">
        <v>26</v>
      </c>
      <c r="K121" s="4" t="s">
        <v>15</v>
      </c>
      <c r="L121" s="5" t="s">
        <v>16</v>
      </c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>
        <v>19</v>
      </c>
      <c r="B122" s="2" t="s">
        <v>544</v>
      </c>
      <c r="C122" s="133" t="s">
        <v>13</v>
      </c>
      <c r="D122" s="204">
        <v>453</v>
      </c>
      <c r="E122" s="2" t="s">
        <v>545</v>
      </c>
      <c r="F122" s="2" t="s">
        <v>546</v>
      </c>
      <c r="G122" s="2">
        <v>1</v>
      </c>
      <c r="H122" s="3">
        <v>35</v>
      </c>
      <c r="I122" s="3">
        <v>10</v>
      </c>
      <c r="J122" s="3" t="s">
        <v>27</v>
      </c>
      <c r="K122" s="4" t="s">
        <v>15</v>
      </c>
      <c r="L122" s="5" t="s">
        <v>16</v>
      </c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>
        <v>20</v>
      </c>
      <c r="B123" s="10">
        <v>114</v>
      </c>
      <c r="C123" s="133" t="s">
        <v>22</v>
      </c>
      <c r="D123" s="10">
        <v>156937</v>
      </c>
      <c r="E123" s="10" t="s">
        <v>34</v>
      </c>
      <c r="F123" s="10" t="s">
        <v>470</v>
      </c>
      <c r="G123" s="10">
        <v>2</v>
      </c>
      <c r="H123" s="8">
        <v>72</v>
      </c>
      <c r="I123" s="8">
        <v>18</v>
      </c>
      <c r="J123" s="3" t="s">
        <v>14</v>
      </c>
      <c r="K123" s="4" t="s">
        <v>15</v>
      </c>
      <c r="L123" s="5" t="s">
        <v>16</v>
      </c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>
        <v>20</v>
      </c>
      <c r="B124" s="2">
        <v>510</v>
      </c>
      <c r="C124" s="133" t="s">
        <v>22</v>
      </c>
      <c r="D124" s="2">
        <v>171592</v>
      </c>
      <c r="E124" s="2" t="s">
        <v>34</v>
      </c>
      <c r="F124" s="2" t="s">
        <v>476</v>
      </c>
      <c r="G124" s="2">
        <v>3</v>
      </c>
      <c r="H124" s="3">
        <v>99</v>
      </c>
      <c r="I124" s="3">
        <v>24.75</v>
      </c>
      <c r="J124" s="3" t="s">
        <v>14</v>
      </c>
      <c r="K124" s="4" t="s">
        <v>15</v>
      </c>
      <c r="L124" s="5" t="s">
        <v>16</v>
      </c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>
        <v>20</v>
      </c>
      <c r="B125" s="2" t="s">
        <v>568</v>
      </c>
      <c r="C125" s="133" t="s">
        <v>13</v>
      </c>
      <c r="D125" s="2">
        <v>473</v>
      </c>
      <c r="E125" s="2" t="s">
        <v>433</v>
      </c>
      <c r="F125" s="2" t="s">
        <v>569</v>
      </c>
      <c r="G125" s="2">
        <v>2</v>
      </c>
      <c r="H125" s="3">
        <v>35</v>
      </c>
      <c r="I125" s="3">
        <v>10</v>
      </c>
      <c r="J125" s="3" t="s">
        <v>39</v>
      </c>
      <c r="K125" s="4" t="s">
        <v>15</v>
      </c>
      <c r="L125" s="5" t="s">
        <v>16</v>
      </c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>
        <v>20</v>
      </c>
      <c r="B126" s="2" t="s">
        <v>555</v>
      </c>
      <c r="C126" s="133" t="s">
        <v>23</v>
      </c>
      <c r="D126" s="204">
        <v>173813</v>
      </c>
      <c r="E126" s="2" t="s">
        <v>242</v>
      </c>
      <c r="F126" s="2" t="s">
        <v>76</v>
      </c>
      <c r="G126" s="2">
        <v>6</v>
      </c>
      <c r="H126" s="3">
        <v>50</v>
      </c>
      <c r="I126" s="3" t="s">
        <v>34</v>
      </c>
      <c r="J126" s="3" t="s">
        <v>26</v>
      </c>
      <c r="K126" s="4" t="s">
        <v>15</v>
      </c>
      <c r="L126" s="5" t="s">
        <v>16</v>
      </c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>
        <v>20</v>
      </c>
      <c r="B127" s="2" t="s">
        <v>564</v>
      </c>
      <c r="C127" s="133" t="s">
        <v>24</v>
      </c>
      <c r="D127" s="2">
        <v>172528</v>
      </c>
      <c r="E127" s="2" t="s">
        <v>160</v>
      </c>
      <c r="F127" s="2" t="s">
        <v>565</v>
      </c>
      <c r="G127" s="2">
        <v>4</v>
      </c>
      <c r="H127" s="3">
        <v>332.5</v>
      </c>
      <c r="I127" s="3">
        <v>49.87</v>
      </c>
      <c r="J127" s="3" t="s">
        <v>14</v>
      </c>
      <c r="K127" s="4" t="s">
        <v>15</v>
      </c>
      <c r="L127" s="5" t="s">
        <v>15</v>
      </c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>
        <v>20</v>
      </c>
      <c r="B128" s="2">
        <v>114</v>
      </c>
      <c r="C128" s="133" t="s">
        <v>13</v>
      </c>
      <c r="D128" s="2">
        <v>469</v>
      </c>
      <c r="E128" s="2" t="s">
        <v>115</v>
      </c>
      <c r="F128" s="2" t="s">
        <v>76</v>
      </c>
      <c r="G128" s="2">
        <v>2</v>
      </c>
      <c r="H128" s="3">
        <v>25</v>
      </c>
      <c r="I128" s="3">
        <v>8</v>
      </c>
      <c r="J128" s="3" t="s">
        <v>26</v>
      </c>
      <c r="K128" s="4" t="s">
        <v>15</v>
      </c>
      <c r="L128" s="5" t="s">
        <v>16</v>
      </c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>
        <v>20</v>
      </c>
      <c r="B129" s="2" t="s">
        <v>303</v>
      </c>
      <c r="C129" s="133" t="s">
        <v>23</v>
      </c>
      <c r="D129" s="204">
        <v>167256</v>
      </c>
      <c r="E129" s="2" t="s">
        <v>142</v>
      </c>
      <c r="F129" s="2" t="s">
        <v>304</v>
      </c>
      <c r="G129" s="2">
        <v>2</v>
      </c>
      <c r="H129" s="3">
        <v>39</v>
      </c>
      <c r="I129" s="3" t="s">
        <v>34</v>
      </c>
      <c r="J129" s="3" t="s">
        <v>18</v>
      </c>
      <c r="K129" s="4" t="s">
        <v>15</v>
      </c>
      <c r="L129" s="5" t="s">
        <v>16</v>
      </c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>
        <v>20</v>
      </c>
      <c r="B130" s="2">
        <v>104</v>
      </c>
      <c r="C130" s="133" t="s">
        <v>13</v>
      </c>
      <c r="D130" s="2">
        <v>467</v>
      </c>
      <c r="E130" s="2" t="s">
        <v>139</v>
      </c>
      <c r="F130" s="2" t="s">
        <v>76</v>
      </c>
      <c r="G130" s="2">
        <v>1</v>
      </c>
      <c r="H130" s="3">
        <v>25</v>
      </c>
      <c r="I130" s="3">
        <v>8</v>
      </c>
      <c r="J130" s="3" t="s">
        <v>14</v>
      </c>
      <c r="K130" s="4" t="s">
        <v>15</v>
      </c>
      <c r="L130" s="5" t="s">
        <v>16</v>
      </c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>
        <v>20</v>
      </c>
      <c r="B131" s="2" t="s">
        <v>305</v>
      </c>
      <c r="C131" s="133" t="s">
        <v>13</v>
      </c>
      <c r="D131" s="204">
        <v>656</v>
      </c>
      <c r="E131" s="2" t="s">
        <v>306</v>
      </c>
      <c r="F131" s="2" t="s">
        <v>307</v>
      </c>
      <c r="G131" s="2">
        <v>2</v>
      </c>
      <c r="H131" s="3">
        <v>35</v>
      </c>
      <c r="I131" s="3">
        <v>10</v>
      </c>
      <c r="J131" s="3" t="s">
        <v>132</v>
      </c>
      <c r="K131" s="4" t="s">
        <v>15</v>
      </c>
      <c r="L131" s="5" t="s">
        <v>16</v>
      </c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>
        <v>20</v>
      </c>
      <c r="B132" s="2" t="s">
        <v>559</v>
      </c>
      <c r="C132" s="133" t="s">
        <v>13</v>
      </c>
      <c r="D132" s="204">
        <v>170953</v>
      </c>
      <c r="E132" s="9" t="s">
        <v>273</v>
      </c>
      <c r="F132" s="2" t="s">
        <v>560</v>
      </c>
      <c r="G132" s="2">
        <v>2</v>
      </c>
      <c r="H132" s="3">
        <v>35</v>
      </c>
      <c r="I132" s="3">
        <v>10</v>
      </c>
      <c r="J132" s="3" t="s">
        <v>39</v>
      </c>
      <c r="K132" s="4" t="s">
        <v>15</v>
      </c>
      <c r="L132" s="5" t="s">
        <v>16</v>
      </c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>
        <v>20</v>
      </c>
      <c r="B133" s="2">
        <v>327</v>
      </c>
      <c r="C133" s="133" t="s">
        <v>13</v>
      </c>
      <c r="D133" s="2">
        <v>474</v>
      </c>
      <c r="E133" s="2" t="s">
        <v>430</v>
      </c>
      <c r="F133" s="2" t="s">
        <v>584</v>
      </c>
      <c r="G133" s="2">
        <v>6</v>
      </c>
      <c r="H133" s="3">
        <v>55</v>
      </c>
      <c r="I133" s="3">
        <v>15</v>
      </c>
      <c r="J133" s="3" t="s">
        <v>14</v>
      </c>
      <c r="K133" s="4" t="s">
        <v>15</v>
      </c>
      <c r="L133" s="5" t="s">
        <v>16</v>
      </c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>
        <v>20</v>
      </c>
      <c r="B134" s="2">
        <v>519</v>
      </c>
      <c r="C134" s="133" t="s">
        <v>13</v>
      </c>
      <c r="D134" s="2">
        <v>476</v>
      </c>
      <c r="E134" s="2" t="s">
        <v>502</v>
      </c>
      <c r="F134" s="2" t="s">
        <v>76</v>
      </c>
      <c r="G134" s="2">
        <v>2</v>
      </c>
      <c r="H134" s="3">
        <v>25</v>
      </c>
      <c r="I134" s="3">
        <v>8</v>
      </c>
      <c r="J134" s="3" t="s">
        <v>14</v>
      </c>
      <c r="K134" s="4" t="s">
        <v>15</v>
      </c>
      <c r="L134" s="5" t="s">
        <v>16</v>
      </c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>
        <v>20</v>
      </c>
      <c r="B135" s="2" t="s">
        <v>567</v>
      </c>
      <c r="C135" s="133" t="s">
        <v>13</v>
      </c>
      <c r="D135" s="2">
        <v>470</v>
      </c>
      <c r="E135" s="2" t="s">
        <v>402</v>
      </c>
      <c r="F135" s="2" t="s">
        <v>601</v>
      </c>
      <c r="G135" s="2">
        <v>2</v>
      </c>
      <c r="H135" s="3">
        <v>35</v>
      </c>
      <c r="I135" s="3">
        <v>10</v>
      </c>
      <c r="J135" s="3" t="s">
        <v>26</v>
      </c>
      <c r="K135" s="4" t="s">
        <v>15</v>
      </c>
      <c r="L135" s="5" t="s">
        <v>16</v>
      </c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>
        <v>21</v>
      </c>
      <c r="B136" s="2">
        <v>402</v>
      </c>
      <c r="C136" s="133" t="s">
        <v>13</v>
      </c>
      <c r="D136" s="2">
        <v>480</v>
      </c>
      <c r="E136" s="2" t="s">
        <v>192</v>
      </c>
      <c r="F136" s="2" t="s">
        <v>76</v>
      </c>
      <c r="G136" s="2">
        <v>1</v>
      </c>
      <c r="H136" s="3">
        <v>25</v>
      </c>
      <c r="I136" s="3">
        <v>8</v>
      </c>
      <c r="J136" s="3" t="s">
        <v>14</v>
      </c>
      <c r="K136" s="4" t="s">
        <v>15</v>
      </c>
      <c r="L136" s="5" t="s">
        <v>16</v>
      </c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>
        <v>21</v>
      </c>
      <c r="B137" s="2" t="s">
        <v>571</v>
      </c>
      <c r="C137" s="133" t="s">
        <v>13</v>
      </c>
      <c r="D137" s="2">
        <v>479</v>
      </c>
      <c r="E137" s="2" t="s">
        <v>460</v>
      </c>
      <c r="F137" s="2" t="s">
        <v>585</v>
      </c>
      <c r="G137" s="2">
        <v>2</v>
      </c>
      <c r="H137" s="3">
        <v>25</v>
      </c>
      <c r="I137" s="3">
        <v>25</v>
      </c>
      <c r="J137" s="3" t="s">
        <v>14</v>
      </c>
      <c r="K137" s="4" t="s">
        <v>15</v>
      </c>
      <c r="L137" s="5" t="s">
        <v>15</v>
      </c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>
        <v>21</v>
      </c>
      <c r="B138" s="2">
        <v>312</v>
      </c>
      <c r="C138" s="133" t="s">
        <v>13</v>
      </c>
      <c r="D138" s="2">
        <v>472</v>
      </c>
      <c r="E138" s="2" t="s">
        <v>460</v>
      </c>
      <c r="F138" s="2" t="s">
        <v>76</v>
      </c>
      <c r="G138" s="2">
        <v>2</v>
      </c>
      <c r="H138" s="3">
        <v>25</v>
      </c>
      <c r="I138" s="3">
        <v>8</v>
      </c>
      <c r="J138" s="3" t="s">
        <v>26</v>
      </c>
      <c r="K138" s="4" t="s">
        <v>15</v>
      </c>
      <c r="L138" s="5" t="s">
        <v>16</v>
      </c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>
        <v>21</v>
      </c>
      <c r="B139" s="2" t="s">
        <v>571</v>
      </c>
      <c r="C139" s="133" t="s">
        <v>23</v>
      </c>
      <c r="D139" s="2">
        <v>173364</v>
      </c>
      <c r="E139" s="2" t="s">
        <v>460</v>
      </c>
      <c r="F139" s="2" t="s">
        <v>76</v>
      </c>
      <c r="G139" s="2">
        <v>2</v>
      </c>
      <c r="H139" s="3">
        <v>22</v>
      </c>
      <c r="I139" s="3" t="s">
        <v>34</v>
      </c>
      <c r="J139" s="3" t="s">
        <v>18</v>
      </c>
      <c r="K139" s="4" t="s">
        <v>15</v>
      </c>
      <c r="L139" s="5" t="s">
        <v>16</v>
      </c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>
        <v>21</v>
      </c>
      <c r="B140" s="2">
        <v>528</v>
      </c>
      <c r="C140" s="133" t="s">
        <v>13</v>
      </c>
      <c r="D140" s="2">
        <v>482</v>
      </c>
      <c r="E140" s="2" t="s">
        <v>127</v>
      </c>
      <c r="F140" s="2" t="s">
        <v>580</v>
      </c>
      <c r="G140" s="2">
        <v>2</v>
      </c>
      <c r="H140" s="3">
        <v>25</v>
      </c>
      <c r="I140" s="3">
        <v>8</v>
      </c>
      <c r="J140" s="3" t="s">
        <v>26</v>
      </c>
      <c r="K140" s="4" t="s">
        <v>15</v>
      </c>
      <c r="L140" s="5" t="s">
        <v>16</v>
      </c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>
        <v>21</v>
      </c>
      <c r="B141" s="2" t="s">
        <v>564</v>
      </c>
      <c r="C141" s="133" t="s">
        <v>13</v>
      </c>
      <c r="D141" s="2">
        <v>475</v>
      </c>
      <c r="E141" s="2" t="s">
        <v>109</v>
      </c>
      <c r="F141" s="2" t="s">
        <v>581</v>
      </c>
      <c r="G141" s="2">
        <v>4</v>
      </c>
      <c r="H141" s="3">
        <v>80</v>
      </c>
      <c r="I141" s="3">
        <v>20</v>
      </c>
      <c r="J141" s="3" t="s">
        <v>14</v>
      </c>
      <c r="K141" s="4" t="s">
        <v>15</v>
      </c>
      <c r="L141" s="5" t="s">
        <v>16</v>
      </c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>
        <v>21</v>
      </c>
      <c r="B142" s="2" t="s">
        <v>308</v>
      </c>
      <c r="C142" s="133" t="s">
        <v>23</v>
      </c>
      <c r="D142" s="204">
        <v>172182</v>
      </c>
      <c r="E142" s="2" t="s">
        <v>309</v>
      </c>
      <c r="F142" s="2" t="s">
        <v>246</v>
      </c>
      <c r="G142" s="2">
        <v>2</v>
      </c>
      <c r="H142" s="3">
        <v>39</v>
      </c>
      <c r="I142" s="3" t="s">
        <v>34</v>
      </c>
      <c r="J142" s="3" t="s">
        <v>36</v>
      </c>
      <c r="K142" s="4" t="s">
        <v>15</v>
      </c>
      <c r="L142" s="5" t="s">
        <v>16</v>
      </c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>
        <v>21</v>
      </c>
      <c r="B143" s="2">
        <v>509</v>
      </c>
      <c r="C143" s="133" t="s">
        <v>13</v>
      </c>
      <c r="D143" s="2">
        <v>468</v>
      </c>
      <c r="E143" s="2" t="s">
        <v>201</v>
      </c>
      <c r="F143" s="2" t="s">
        <v>76</v>
      </c>
      <c r="G143" s="2">
        <v>2</v>
      </c>
      <c r="H143" s="3">
        <v>25</v>
      </c>
      <c r="I143" s="3">
        <v>8</v>
      </c>
      <c r="J143" s="3" t="s">
        <v>566</v>
      </c>
      <c r="K143" s="4" t="s">
        <v>15</v>
      </c>
      <c r="L143" s="5" t="s">
        <v>16</v>
      </c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>
        <v>21</v>
      </c>
      <c r="B144" s="2">
        <v>222</v>
      </c>
      <c r="C144" s="133" t="s">
        <v>13</v>
      </c>
      <c r="D144" s="2">
        <v>485</v>
      </c>
      <c r="E144" s="2" t="s">
        <v>322</v>
      </c>
      <c r="F144" s="2" t="s">
        <v>76</v>
      </c>
      <c r="G144" s="2">
        <v>2</v>
      </c>
      <c r="H144" s="3">
        <v>25</v>
      </c>
      <c r="I144" s="3">
        <v>8</v>
      </c>
      <c r="J144" s="3" t="s">
        <v>14</v>
      </c>
      <c r="K144" s="4" t="s">
        <v>15</v>
      </c>
      <c r="L144" s="5" t="s">
        <v>16</v>
      </c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>
        <v>21</v>
      </c>
      <c r="B145" s="2" t="s">
        <v>553</v>
      </c>
      <c r="C145" s="133" t="s">
        <v>13</v>
      </c>
      <c r="D145" s="204">
        <v>459</v>
      </c>
      <c r="E145" s="2" t="s">
        <v>554</v>
      </c>
      <c r="F145" s="2" t="s">
        <v>582</v>
      </c>
      <c r="G145" s="2">
        <v>1</v>
      </c>
      <c r="H145" s="3">
        <v>35</v>
      </c>
      <c r="I145" s="3">
        <v>10</v>
      </c>
      <c r="J145" s="3" t="s">
        <v>26</v>
      </c>
      <c r="K145" s="4" t="s">
        <v>15</v>
      </c>
      <c r="L145" s="5" t="s">
        <v>16</v>
      </c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>
        <v>21</v>
      </c>
      <c r="B146" s="2">
        <v>407</v>
      </c>
      <c r="C146" s="133" t="s">
        <v>13</v>
      </c>
      <c r="D146" s="2">
        <v>487</v>
      </c>
      <c r="E146" s="2" t="s">
        <v>402</v>
      </c>
      <c r="F146" s="2" t="s">
        <v>76</v>
      </c>
      <c r="G146" s="2">
        <v>2</v>
      </c>
      <c r="H146" s="3">
        <v>35</v>
      </c>
      <c r="I146" s="3">
        <v>10</v>
      </c>
      <c r="J146" s="3" t="s">
        <v>27</v>
      </c>
      <c r="K146" s="4" t="s">
        <v>15</v>
      </c>
      <c r="L146" s="5" t="s">
        <v>16</v>
      </c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>
        <v>21</v>
      </c>
      <c r="B147" s="2">
        <v>416</v>
      </c>
      <c r="C147" s="133" t="s">
        <v>13</v>
      </c>
      <c r="D147" s="2">
        <v>484</v>
      </c>
      <c r="E147" s="2" t="s">
        <v>583</v>
      </c>
      <c r="F147" s="2" t="s">
        <v>76</v>
      </c>
      <c r="G147" s="2">
        <v>3</v>
      </c>
      <c r="H147" s="3">
        <v>35</v>
      </c>
      <c r="I147" s="3">
        <v>10</v>
      </c>
      <c r="J147" s="3" t="s">
        <v>14</v>
      </c>
      <c r="K147" s="4" t="s">
        <v>15</v>
      </c>
      <c r="L147" s="5" t="s">
        <v>16</v>
      </c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>
        <v>22</v>
      </c>
      <c r="B148" s="2" t="s">
        <v>595</v>
      </c>
      <c r="C148" s="133" t="s">
        <v>23</v>
      </c>
      <c r="D148" s="2">
        <v>173365</v>
      </c>
      <c r="E148" s="2" t="s">
        <v>126</v>
      </c>
      <c r="F148" s="2" t="s">
        <v>76</v>
      </c>
      <c r="G148" s="2">
        <v>2</v>
      </c>
      <c r="H148" s="3">
        <v>22</v>
      </c>
      <c r="I148" s="3" t="s">
        <v>34</v>
      </c>
      <c r="J148" s="3" t="s">
        <v>14</v>
      </c>
      <c r="K148" s="4" t="s">
        <v>15</v>
      </c>
      <c r="L148" s="5" t="s">
        <v>16</v>
      </c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>
        <v>22</v>
      </c>
      <c r="B149" s="2">
        <v>214</v>
      </c>
      <c r="C149" s="133" t="s">
        <v>13</v>
      </c>
      <c r="D149" s="2">
        <v>486</v>
      </c>
      <c r="E149" s="2" t="s">
        <v>109</v>
      </c>
      <c r="F149" s="2" t="s">
        <v>76</v>
      </c>
      <c r="G149" s="2">
        <v>2</v>
      </c>
      <c r="H149" s="3">
        <v>25</v>
      </c>
      <c r="I149" s="3">
        <v>8</v>
      </c>
      <c r="J149" s="3" t="s">
        <v>27</v>
      </c>
      <c r="K149" s="4" t="s">
        <v>15</v>
      </c>
      <c r="L149" s="5" t="s">
        <v>16</v>
      </c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>
        <v>22</v>
      </c>
      <c r="B150" s="2" t="s">
        <v>599</v>
      </c>
      <c r="C150" s="133" t="s">
        <v>13</v>
      </c>
      <c r="D150" s="2">
        <v>654</v>
      </c>
      <c r="E150" s="2" t="s">
        <v>189</v>
      </c>
      <c r="F150" s="2" t="s">
        <v>240</v>
      </c>
      <c r="G150" s="2">
        <v>2</v>
      </c>
      <c r="H150" s="3">
        <v>35</v>
      </c>
      <c r="I150" s="3">
        <v>10</v>
      </c>
      <c r="J150" s="3" t="s">
        <v>27</v>
      </c>
      <c r="K150" s="4" t="s">
        <v>15</v>
      </c>
      <c r="L150" s="5" t="s">
        <v>16</v>
      </c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>
        <v>22</v>
      </c>
      <c r="B151" s="2" t="s">
        <v>314</v>
      </c>
      <c r="C151" s="133" t="s">
        <v>13</v>
      </c>
      <c r="D151" s="2">
        <v>483</v>
      </c>
      <c r="E151" s="2" t="s">
        <v>259</v>
      </c>
      <c r="F151" s="2" t="s">
        <v>475</v>
      </c>
      <c r="G151" s="2">
        <v>2</v>
      </c>
      <c r="H151" s="3">
        <v>35</v>
      </c>
      <c r="I151" s="3">
        <v>10</v>
      </c>
      <c r="J151" s="3" t="s">
        <v>26</v>
      </c>
      <c r="K151" s="4" t="s">
        <v>15</v>
      </c>
      <c r="L151" s="5" t="s">
        <v>16</v>
      </c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>
        <v>22</v>
      </c>
      <c r="B152" s="2">
        <v>605</v>
      </c>
      <c r="C152" s="133" t="s">
        <v>13</v>
      </c>
      <c r="D152" s="2">
        <v>463</v>
      </c>
      <c r="E152" s="2" t="s">
        <v>557</v>
      </c>
      <c r="F152" s="2" t="s">
        <v>76</v>
      </c>
      <c r="G152" s="2">
        <v>2</v>
      </c>
      <c r="H152" s="3">
        <v>25</v>
      </c>
      <c r="I152" s="3">
        <v>8</v>
      </c>
      <c r="J152" s="3" t="s">
        <v>558</v>
      </c>
      <c r="K152" s="4" t="s">
        <v>15</v>
      </c>
      <c r="L152" s="5" t="s">
        <v>16</v>
      </c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>
        <v>22</v>
      </c>
      <c r="B153" s="2" t="s">
        <v>594</v>
      </c>
      <c r="C153" s="133" t="s">
        <v>13</v>
      </c>
      <c r="D153" s="204">
        <v>2875</v>
      </c>
      <c r="E153" s="2" t="s">
        <v>201</v>
      </c>
      <c r="F153" s="2" t="s">
        <v>76</v>
      </c>
      <c r="G153" s="2">
        <v>2</v>
      </c>
      <c r="H153" s="3">
        <v>25</v>
      </c>
      <c r="I153" s="3">
        <v>8</v>
      </c>
      <c r="J153" s="3" t="s">
        <v>14</v>
      </c>
      <c r="K153" s="4" t="s">
        <v>15</v>
      </c>
      <c r="L153" s="5" t="s">
        <v>16</v>
      </c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>
        <v>22</v>
      </c>
      <c r="B154" s="2" t="s">
        <v>310</v>
      </c>
      <c r="C154" s="133" t="s">
        <v>13</v>
      </c>
      <c r="D154" s="204">
        <v>804</v>
      </c>
      <c r="E154" s="9" t="s">
        <v>311</v>
      </c>
      <c r="F154" s="2" t="s">
        <v>513</v>
      </c>
      <c r="G154" s="2">
        <v>2</v>
      </c>
      <c r="H154" s="3">
        <v>35</v>
      </c>
      <c r="I154" s="3">
        <v>10</v>
      </c>
      <c r="J154" s="3" t="s">
        <v>36</v>
      </c>
      <c r="K154" s="4" t="s">
        <v>15</v>
      </c>
      <c r="L154" s="5" t="s">
        <v>16</v>
      </c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>
        <v>23</v>
      </c>
      <c r="B155" s="2">
        <v>602</v>
      </c>
      <c r="C155" s="133" t="s">
        <v>13</v>
      </c>
      <c r="D155" s="2">
        <v>490</v>
      </c>
      <c r="E155" s="2" t="s">
        <v>400</v>
      </c>
      <c r="F155" s="2" t="s">
        <v>76</v>
      </c>
      <c r="G155" s="2">
        <v>2</v>
      </c>
      <c r="H155" s="3">
        <v>25</v>
      </c>
      <c r="I155" s="3">
        <v>8</v>
      </c>
      <c r="J155" s="3" t="s">
        <v>18</v>
      </c>
      <c r="K155" s="4" t="s">
        <v>15</v>
      </c>
      <c r="L155" s="5" t="s">
        <v>16</v>
      </c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>
        <v>23</v>
      </c>
      <c r="B156" s="2">
        <v>403</v>
      </c>
      <c r="C156" s="133" t="s">
        <v>13</v>
      </c>
      <c r="D156" s="2">
        <v>489</v>
      </c>
      <c r="E156" s="2" t="s">
        <v>296</v>
      </c>
      <c r="F156" s="2" t="s">
        <v>76</v>
      </c>
      <c r="G156" s="2">
        <v>2</v>
      </c>
      <c r="H156" s="3">
        <v>25</v>
      </c>
      <c r="I156" s="3">
        <v>8</v>
      </c>
      <c r="J156" s="3" t="s">
        <v>592</v>
      </c>
      <c r="K156" s="4" t="s">
        <v>15</v>
      </c>
      <c r="L156" s="5" t="s">
        <v>16</v>
      </c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>
        <v>23</v>
      </c>
      <c r="B157" s="2">
        <v>106</v>
      </c>
      <c r="C157" s="133" t="s">
        <v>13</v>
      </c>
      <c r="D157" s="2">
        <v>494</v>
      </c>
      <c r="E157" s="2" t="s">
        <v>126</v>
      </c>
      <c r="F157" s="2" t="s">
        <v>76</v>
      </c>
      <c r="G157" s="2">
        <v>2</v>
      </c>
      <c r="H157" s="3">
        <v>25</v>
      </c>
      <c r="I157" s="3">
        <v>8</v>
      </c>
      <c r="J157" s="3" t="s">
        <v>592</v>
      </c>
      <c r="K157" s="4" t="s">
        <v>15</v>
      </c>
      <c r="L157" s="5" t="s">
        <v>16</v>
      </c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>
        <v>23</v>
      </c>
      <c r="B158" s="2">
        <v>324</v>
      </c>
      <c r="C158" s="133" t="s">
        <v>13</v>
      </c>
      <c r="D158" s="2">
        <v>492</v>
      </c>
      <c r="E158" s="2" t="s">
        <v>96</v>
      </c>
      <c r="F158" s="2" t="s">
        <v>78</v>
      </c>
      <c r="G158" s="2">
        <v>8</v>
      </c>
      <c r="H158" s="3">
        <v>55</v>
      </c>
      <c r="I158" s="3">
        <v>15</v>
      </c>
      <c r="J158" s="3" t="s">
        <v>14</v>
      </c>
      <c r="K158" s="4" t="s">
        <v>15</v>
      </c>
      <c r="L158" s="5" t="s">
        <v>16</v>
      </c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>
        <v>23</v>
      </c>
      <c r="B159" s="2">
        <v>111</v>
      </c>
      <c r="C159" s="133" t="s">
        <v>13</v>
      </c>
      <c r="D159" s="2">
        <v>495</v>
      </c>
      <c r="E159" s="2" t="s">
        <v>107</v>
      </c>
      <c r="F159" s="2" t="s">
        <v>78</v>
      </c>
      <c r="G159" s="2">
        <v>2</v>
      </c>
      <c r="H159" s="3">
        <v>25</v>
      </c>
      <c r="I159" s="3">
        <v>8</v>
      </c>
      <c r="J159" s="3" t="s">
        <v>592</v>
      </c>
      <c r="K159" s="4" t="s">
        <v>15</v>
      </c>
      <c r="L159" s="5" t="s">
        <v>16</v>
      </c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>
        <v>23</v>
      </c>
      <c r="B160" s="2" t="s">
        <v>603</v>
      </c>
      <c r="C160" s="133" t="s">
        <v>23</v>
      </c>
      <c r="D160" s="204">
        <v>164809</v>
      </c>
      <c r="E160" s="2" t="s">
        <v>249</v>
      </c>
      <c r="F160" s="2" t="s">
        <v>250</v>
      </c>
      <c r="G160" s="2">
        <v>2</v>
      </c>
      <c r="H160" s="3">
        <v>39</v>
      </c>
      <c r="I160" s="3" t="s">
        <v>34</v>
      </c>
      <c r="J160" s="3" t="s">
        <v>132</v>
      </c>
      <c r="K160" s="4" t="s">
        <v>15</v>
      </c>
      <c r="L160" s="5" t="s">
        <v>16</v>
      </c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>
        <v>23</v>
      </c>
      <c r="B161" s="2">
        <v>503</v>
      </c>
      <c r="C161" s="133" t="s">
        <v>13</v>
      </c>
      <c r="D161" s="2">
        <v>493</v>
      </c>
      <c r="E161" s="2" t="s">
        <v>109</v>
      </c>
      <c r="F161" s="2" t="s">
        <v>76</v>
      </c>
      <c r="G161" s="2">
        <v>2</v>
      </c>
      <c r="H161" s="3">
        <v>25</v>
      </c>
      <c r="I161" s="3">
        <v>8</v>
      </c>
      <c r="J161" s="3" t="s">
        <v>14</v>
      </c>
      <c r="K161" s="4" t="s">
        <v>15</v>
      </c>
      <c r="L161" s="5" t="s">
        <v>16</v>
      </c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>
        <v>23</v>
      </c>
      <c r="B162" s="2">
        <v>413</v>
      </c>
      <c r="C162" s="133" t="s">
        <v>13</v>
      </c>
      <c r="D162" s="2">
        <v>491</v>
      </c>
      <c r="E162" s="2" t="s">
        <v>281</v>
      </c>
      <c r="F162" s="2" t="s">
        <v>76</v>
      </c>
      <c r="G162" s="2">
        <v>2</v>
      </c>
      <c r="H162" s="3">
        <v>25</v>
      </c>
      <c r="I162" s="3">
        <v>8</v>
      </c>
      <c r="J162" s="3" t="s">
        <v>18</v>
      </c>
      <c r="K162" s="4" t="s">
        <v>15</v>
      </c>
      <c r="L162" s="5" t="s">
        <v>16</v>
      </c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>
        <v>23</v>
      </c>
      <c r="B163" s="2">
        <v>305</v>
      </c>
      <c r="C163" s="133" t="s">
        <v>13</v>
      </c>
      <c r="D163" s="2">
        <v>498</v>
      </c>
      <c r="E163" s="2" t="s">
        <v>178</v>
      </c>
      <c r="F163" s="2" t="s">
        <v>76</v>
      </c>
      <c r="G163" s="2">
        <v>2</v>
      </c>
      <c r="H163" s="3">
        <v>25</v>
      </c>
      <c r="I163" s="3">
        <v>8</v>
      </c>
      <c r="J163" s="3" t="s">
        <v>14</v>
      </c>
      <c r="K163" s="4" t="s">
        <v>15</v>
      </c>
      <c r="L163" s="5" t="s">
        <v>16</v>
      </c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>
        <v>23</v>
      </c>
      <c r="B164" s="2" t="s">
        <v>602</v>
      </c>
      <c r="C164" s="133" t="s">
        <v>23</v>
      </c>
      <c r="D164" s="204">
        <v>165870</v>
      </c>
      <c r="E164" s="2" t="s">
        <v>216</v>
      </c>
      <c r="F164" s="2" t="s">
        <v>407</v>
      </c>
      <c r="G164" s="2">
        <v>2</v>
      </c>
      <c r="H164" s="3">
        <v>39</v>
      </c>
      <c r="I164" s="3" t="s">
        <v>34</v>
      </c>
      <c r="J164" s="3" t="s">
        <v>132</v>
      </c>
      <c r="K164" s="4" t="s">
        <v>15</v>
      </c>
      <c r="L164" s="5" t="s">
        <v>16</v>
      </c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>
        <v>24</v>
      </c>
      <c r="B165" s="2">
        <v>105</v>
      </c>
      <c r="C165" s="133" t="s">
        <v>13</v>
      </c>
      <c r="D165" s="2">
        <v>1502</v>
      </c>
      <c r="E165" s="2" t="s">
        <v>465</v>
      </c>
      <c r="F165" s="2" t="s">
        <v>76</v>
      </c>
      <c r="G165" s="2">
        <v>1</v>
      </c>
      <c r="H165" s="3">
        <v>25</v>
      </c>
      <c r="I165" s="3">
        <v>8</v>
      </c>
      <c r="J165" s="3" t="s">
        <v>39</v>
      </c>
      <c r="K165" s="4" t="s">
        <v>15</v>
      </c>
      <c r="L165" s="5" t="s">
        <v>16</v>
      </c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>
        <v>24</v>
      </c>
      <c r="B166" s="2">
        <v>322</v>
      </c>
      <c r="C166" s="133" t="s">
        <v>13</v>
      </c>
      <c r="D166" s="2">
        <v>496</v>
      </c>
      <c r="E166" s="2" t="s">
        <v>605</v>
      </c>
      <c r="F166" s="2" t="s">
        <v>76</v>
      </c>
      <c r="G166" s="2">
        <v>2</v>
      </c>
      <c r="H166" s="3">
        <v>25</v>
      </c>
      <c r="I166" s="3">
        <v>8</v>
      </c>
      <c r="J166" s="3" t="s">
        <v>18</v>
      </c>
      <c r="K166" s="4" t="s">
        <v>15</v>
      </c>
      <c r="L166" s="5" t="s">
        <v>16</v>
      </c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>
        <v>24</v>
      </c>
      <c r="B167" s="2" t="s">
        <v>610</v>
      </c>
      <c r="C167" s="133" t="s">
        <v>23</v>
      </c>
      <c r="D167" s="2">
        <v>174167</v>
      </c>
      <c r="E167" s="2" t="s">
        <v>611</v>
      </c>
      <c r="F167" s="2" t="s">
        <v>612</v>
      </c>
      <c r="G167" s="2">
        <v>2</v>
      </c>
      <c r="H167" s="3">
        <v>39</v>
      </c>
      <c r="I167" s="3" t="s">
        <v>34</v>
      </c>
      <c r="J167" s="3" t="s">
        <v>18</v>
      </c>
      <c r="K167" s="4" t="s">
        <v>15</v>
      </c>
      <c r="L167" s="5" t="s">
        <v>16</v>
      </c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>
        <v>24</v>
      </c>
      <c r="B168" s="2" t="s">
        <v>312</v>
      </c>
      <c r="C168" s="133" t="s">
        <v>13</v>
      </c>
      <c r="D168" s="204">
        <v>1886</v>
      </c>
      <c r="E168" s="9" t="s">
        <v>313</v>
      </c>
      <c r="F168" s="2" t="s">
        <v>514</v>
      </c>
      <c r="G168" s="2">
        <v>2</v>
      </c>
      <c r="H168" s="3">
        <v>35</v>
      </c>
      <c r="I168" s="3">
        <v>10</v>
      </c>
      <c r="J168" s="3" t="s">
        <v>132</v>
      </c>
      <c r="K168" s="4" t="s">
        <v>15</v>
      </c>
      <c r="L168" s="5" t="s">
        <v>16</v>
      </c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>
        <v>24</v>
      </c>
      <c r="B169" s="2" t="s">
        <v>608</v>
      </c>
      <c r="C169" s="133" t="s">
        <v>13</v>
      </c>
      <c r="D169" s="2">
        <v>471</v>
      </c>
      <c r="E169" s="2" t="s">
        <v>91</v>
      </c>
      <c r="F169" s="2" t="s">
        <v>76</v>
      </c>
      <c r="G169" s="2">
        <v>2</v>
      </c>
      <c r="H169" s="3">
        <v>25</v>
      </c>
      <c r="I169" s="3">
        <v>8</v>
      </c>
      <c r="J169" s="3" t="s">
        <v>26</v>
      </c>
      <c r="K169" s="4" t="s">
        <v>15</v>
      </c>
      <c r="L169" s="5" t="s">
        <v>16</v>
      </c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>
        <v>24</v>
      </c>
      <c r="B170" s="2">
        <v>418</v>
      </c>
      <c r="C170" s="133" t="s">
        <v>13</v>
      </c>
      <c r="D170" s="2">
        <v>1501</v>
      </c>
      <c r="E170" s="2" t="s">
        <v>139</v>
      </c>
      <c r="F170" s="2" t="s">
        <v>76</v>
      </c>
      <c r="G170" s="2">
        <v>1</v>
      </c>
      <c r="H170" s="3">
        <v>25</v>
      </c>
      <c r="I170" s="3">
        <v>8</v>
      </c>
      <c r="J170" s="3" t="s">
        <v>27</v>
      </c>
      <c r="K170" s="4" t="s">
        <v>15</v>
      </c>
      <c r="L170" s="5" t="s">
        <v>16</v>
      </c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>
        <v>24</v>
      </c>
      <c r="B171" s="2" t="s">
        <v>609</v>
      </c>
      <c r="C171" s="133" t="s">
        <v>13</v>
      </c>
      <c r="D171" s="204">
        <v>456</v>
      </c>
      <c r="E171" s="2" t="s">
        <v>99</v>
      </c>
      <c r="F171" s="2" t="s">
        <v>591</v>
      </c>
      <c r="G171" s="2">
        <v>5</v>
      </c>
      <c r="H171" s="3">
        <v>55</v>
      </c>
      <c r="I171" s="3">
        <v>15</v>
      </c>
      <c r="J171" s="3" t="s">
        <v>26</v>
      </c>
      <c r="K171" s="4" t="s">
        <v>15</v>
      </c>
      <c r="L171" s="5" t="s">
        <v>16</v>
      </c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>
        <v>24</v>
      </c>
      <c r="B172" s="2" t="s">
        <v>606</v>
      </c>
      <c r="C172" s="133" t="s">
        <v>13</v>
      </c>
      <c r="D172" s="2">
        <v>497</v>
      </c>
      <c r="E172" s="2" t="s">
        <v>442</v>
      </c>
      <c r="F172" s="2" t="s">
        <v>516</v>
      </c>
      <c r="G172" s="2">
        <v>1</v>
      </c>
      <c r="H172" s="3">
        <v>35</v>
      </c>
      <c r="I172" s="3">
        <v>10</v>
      </c>
      <c r="J172" s="3" t="s">
        <v>14</v>
      </c>
      <c r="K172" s="4" t="s">
        <v>15</v>
      </c>
      <c r="L172" s="5" t="s">
        <v>16</v>
      </c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>
        <v>24</v>
      </c>
      <c r="B173" s="2" t="s">
        <v>561</v>
      </c>
      <c r="C173" s="133" t="s">
        <v>13</v>
      </c>
      <c r="D173" s="2">
        <v>500</v>
      </c>
      <c r="E173" s="2" t="s">
        <v>446</v>
      </c>
      <c r="F173" s="2" t="s">
        <v>90</v>
      </c>
      <c r="G173" s="2">
        <v>2</v>
      </c>
      <c r="H173" s="3">
        <v>35</v>
      </c>
      <c r="I173" s="3">
        <v>10</v>
      </c>
      <c r="J173" s="3" t="s">
        <v>39</v>
      </c>
      <c r="K173" s="4" t="s">
        <v>15</v>
      </c>
      <c r="L173" s="5" t="s">
        <v>16</v>
      </c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>
        <v>25</v>
      </c>
      <c r="B174" s="2">
        <v>507</v>
      </c>
      <c r="C174" s="133" t="s">
        <v>13</v>
      </c>
      <c r="D174" s="2">
        <v>1504</v>
      </c>
      <c r="E174" s="2" t="s">
        <v>572</v>
      </c>
      <c r="F174" s="2" t="s">
        <v>76</v>
      </c>
      <c r="G174" s="2">
        <v>1</v>
      </c>
      <c r="H174" s="3">
        <v>25</v>
      </c>
      <c r="I174" s="3">
        <v>8</v>
      </c>
      <c r="J174" s="3" t="s">
        <v>27</v>
      </c>
      <c r="K174" s="4" t="s">
        <v>15</v>
      </c>
      <c r="L174" s="5" t="s">
        <v>16</v>
      </c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>
        <v>25</v>
      </c>
      <c r="B175" s="2" t="s">
        <v>459</v>
      </c>
      <c r="C175" s="133" t="s">
        <v>23</v>
      </c>
      <c r="D175" s="204">
        <v>174079</v>
      </c>
      <c r="E175" s="9" t="s">
        <v>464</v>
      </c>
      <c r="F175" s="2" t="s">
        <v>475</v>
      </c>
      <c r="G175" s="2">
        <v>2</v>
      </c>
      <c r="H175" s="3">
        <v>39</v>
      </c>
      <c r="I175" s="3" t="s">
        <v>34</v>
      </c>
      <c r="J175" s="3" t="s">
        <v>26</v>
      </c>
      <c r="K175" s="4" t="s">
        <v>15</v>
      </c>
      <c r="L175" s="5" t="s">
        <v>16</v>
      </c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>
        <v>25</v>
      </c>
      <c r="B176" s="2" t="s">
        <v>613</v>
      </c>
      <c r="C176" s="133" t="s">
        <v>13</v>
      </c>
      <c r="D176" s="2">
        <v>1503</v>
      </c>
      <c r="E176" s="2" t="s">
        <v>309</v>
      </c>
      <c r="F176" s="2" t="s">
        <v>614</v>
      </c>
      <c r="G176" s="2">
        <v>2</v>
      </c>
      <c r="H176" s="3">
        <v>35</v>
      </c>
      <c r="I176" s="3">
        <v>10</v>
      </c>
      <c r="J176" s="3" t="s">
        <v>36</v>
      </c>
      <c r="K176" s="4" t="s">
        <v>15</v>
      </c>
      <c r="L176" s="5" t="s">
        <v>16</v>
      </c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>
        <v>25</v>
      </c>
      <c r="B177" s="2" t="s">
        <v>616</v>
      </c>
      <c r="C177" s="133" t="s">
        <v>13</v>
      </c>
      <c r="D177" s="2">
        <v>1505</v>
      </c>
      <c r="E177" s="2" t="s">
        <v>618</v>
      </c>
      <c r="F177" s="2" t="s">
        <v>619</v>
      </c>
      <c r="G177" s="2">
        <v>1</v>
      </c>
      <c r="H177" s="3">
        <v>35</v>
      </c>
      <c r="I177" s="3">
        <v>10</v>
      </c>
      <c r="J177" s="3" t="s">
        <v>27</v>
      </c>
      <c r="K177" s="4" t="s">
        <v>15</v>
      </c>
      <c r="L177" s="5" t="s">
        <v>16</v>
      </c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>
        <v>25</v>
      </c>
      <c r="B178" s="2" t="s">
        <v>620</v>
      </c>
      <c r="C178" s="133" t="s">
        <v>13</v>
      </c>
      <c r="D178" s="2">
        <v>1506</v>
      </c>
      <c r="E178" s="2" t="s">
        <v>371</v>
      </c>
      <c r="F178" s="2" t="s">
        <v>76</v>
      </c>
      <c r="G178" s="2">
        <v>2</v>
      </c>
      <c r="H178" s="3">
        <v>55</v>
      </c>
      <c r="I178" s="3">
        <v>15</v>
      </c>
      <c r="J178" s="3" t="s">
        <v>26</v>
      </c>
      <c r="K178" s="4" t="s">
        <v>15</v>
      </c>
      <c r="L178" s="5" t="s">
        <v>16</v>
      </c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>
        <v>26</v>
      </c>
      <c r="B179" s="2" t="s">
        <v>625</v>
      </c>
      <c r="C179" s="133" t="s">
        <v>23</v>
      </c>
      <c r="D179" s="204">
        <v>174079</v>
      </c>
      <c r="E179" s="2" t="s">
        <v>416</v>
      </c>
      <c r="F179" s="2" t="s">
        <v>76</v>
      </c>
      <c r="G179" s="2">
        <v>2</v>
      </c>
      <c r="H179" s="3">
        <v>22</v>
      </c>
      <c r="I179" s="3" t="s">
        <v>34</v>
      </c>
      <c r="J179" s="3" t="s">
        <v>26</v>
      </c>
      <c r="K179" s="4" t="s">
        <v>15</v>
      </c>
      <c r="L179" s="5" t="s">
        <v>16</v>
      </c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>
        <v>26</v>
      </c>
      <c r="B180" s="2">
        <v>105</v>
      </c>
      <c r="C180" s="133" t="s">
        <v>13</v>
      </c>
      <c r="D180" s="2">
        <v>1510</v>
      </c>
      <c r="E180" s="2" t="s">
        <v>416</v>
      </c>
      <c r="F180" s="2" t="s">
        <v>76</v>
      </c>
      <c r="G180" s="2">
        <v>1</v>
      </c>
      <c r="H180" s="3">
        <v>25</v>
      </c>
      <c r="I180" s="3">
        <v>8</v>
      </c>
      <c r="J180" s="3" t="s">
        <v>27</v>
      </c>
      <c r="K180" s="4" t="s">
        <v>15</v>
      </c>
      <c r="L180" s="5" t="s">
        <v>16</v>
      </c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>
        <v>26</v>
      </c>
      <c r="B181" s="165" t="s">
        <v>315</v>
      </c>
      <c r="C181" s="133" t="s">
        <v>23</v>
      </c>
      <c r="D181" s="204">
        <v>171269</v>
      </c>
      <c r="E181" s="2" t="s">
        <v>242</v>
      </c>
      <c r="F181" s="2" t="s">
        <v>617</v>
      </c>
      <c r="G181" s="2">
        <v>2</v>
      </c>
      <c r="H181" s="3">
        <v>39</v>
      </c>
      <c r="I181" s="3" t="s">
        <v>34</v>
      </c>
      <c r="J181" s="3" t="s">
        <v>18</v>
      </c>
      <c r="K181" s="4" t="s">
        <v>15</v>
      </c>
      <c r="L181" s="5" t="s">
        <v>16</v>
      </c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>
        <v>26</v>
      </c>
      <c r="B182" s="2">
        <v>529</v>
      </c>
      <c r="C182" s="133" t="s">
        <v>13</v>
      </c>
      <c r="D182" s="2">
        <v>1507</v>
      </c>
      <c r="E182" s="2" t="s">
        <v>121</v>
      </c>
      <c r="F182" s="2" t="s">
        <v>631</v>
      </c>
      <c r="G182" s="2">
        <v>2</v>
      </c>
      <c r="H182" s="3">
        <v>25</v>
      </c>
      <c r="I182" s="3">
        <v>8</v>
      </c>
      <c r="J182" s="3" t="s">
        <v>26</v>
      </c>
      <c r="K182" s="4" t="s">
        <v>15</v>
      </c>
      <c r="L182" s="5" t="s">
        <v>16</v>
      </c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>
        <v>26</v>
      </c>
      <c r="B183" s="2">
        <v>225</v>
      </c>
      <c r="C183" s="133" t="s">
        <v>17</v>
      </c>
      <c r="D183" s="2">
        <v>3260</v>
      </c>
      <c r="E183" s="2" t="s">
        <v>96</v>
      </c>
      <c r="F183" s="2" t="s">
        <v>340</v>
      </c>
      <c r="G183" s="2">
        <v>2</v>
      </c>
      <c r="H183" s="3">
        <v>138</v>
      </c>
      <c r="I183" s="3">
        <v>41.4</v>
      </c>
      <c r="J183" s="3" t="s">
        <v>26</v>
      </c>
      <c r="K183" s="4" t="s">
        <v>15</v>
      </c>
      <c r="L183" s="5" t="s">
        <v>16</v>
      </c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>
        <v>26</v>
      </c>
      <c r="B184" s="2" t="s">
        <v>626</v>
      </c>
      <c r="C184" s="133" t="s">
        <v>13</v>
      </c>
      <c r="D184" s="2">
        <v>656</v>
      </c>
      <c r="E184" s="2" t="s">
        <v>430</v>
      </c>
      <c r="F184" s="2" t="s">
        <v>76</v>
      </c>
      <c r="G184" s="2">
        <v>2</v>
      </c>
      <c r="H184" s="3">
        <v>25</v>
      </c>
      <c r="I184" s="3">
        <v>8</v>
      </c>
      <c r="J184" s="3" t="s">
        <v>27</v>
      </c>
      <c r="K184" s="4" t="s">
        <v>15</v>
      </c>
      <c r="L184" s="5" t="s">
        <v>16</v>
      </c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>
        <v>26</v>
      </c>
      <c r="B185" s="2" t="s">
        <v>537</v>
      </c>
      <c r="C185" s="133" t="s">
        <v>20</v>
      </c>
      <c r="D185" s="204">
        <v>2898</v>
      </c>
      <c r="E185" s="2" t="s">
        <v>538</v>
      </c>
      <c r="F185" s="2" t="s">
        <v>637</v>
      </c>
      <c r="G185" s="2">
        <v>2</v>
      </c>
      <c r="H185" s="3">
        <v>35</v>
      </c>
      <c r="I185" s="3">
        <v>10</v>
      </c>
      <c r="J185" s="3" t="s">
        <v>27</v>
      </c>
      <c r="K185" s="4" t="s">
        <v>15</v>
      </c>
      <c r="L185" s="5" t="s">
        <v>15</v>
      </c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>
        <v>27</v>
      </c>
      <c r="B186" s="2" t="s">
        <v>629</v>
      </c>
      <c r="C186" s="133" t="s">
        <v>22</v>
      </c>
      <c r="D186" s="2">
        <v>71243</v>
      </c>
      <c r="E186" s="2" t="s">
        <v>34</v>
      </c>
      <c r="F186" s="2" t="s">
        <v>100</v>
      </c>
      <c r="G186" s="2">
        <v>2</v>
      </c>
      <c r="H186" s="3">
        <v>66</v>
      </c>
      <c r="I186" s="3">
        <v>16.5</v>
      </c>
      <c r="J186" s="3" t="s">
        <v>26</v>
      </c>
      <c r="K186" s="4" t="s">
        <v>15</v>
      </c>
      <c r="L186" s="5" t="s">
        <v>16</v>
      </c>
      <c r="M186" s="144"/>
      <c r="N186" s="175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>
        <v>27</v>
      </c>
      <c r="B187" s="2" t="s">
        <v>600</v>
      </c>
      <c r="C187" s="133" t="s">
        <v>23</v>
      </c>
      <c r="D187" s="204">
        <v>169167</v>
      </c>
      <c r="E187" s="2" t="s">
        <v>228</v>
      </c>
      <c r="F187" s="2" t="s">
        <v>76</v>
      </c>
      <c r="G187" s="2">
        <v>2</v>
      </c>
      <c r="H187" s="3">
        <v>22</v>
      </c>
      <c r="I187" s="3" t="s">
        <v>34</v>
      </c>
      <c r="J187" s="3" t="s">
        <v>36</v>
      </c>
      <c r="K187" s="4" t="s">
        <v>15</v>
      </c>
      <c r="L187" s="5" t="s">
        <v>16</v>
      </c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ht="15" customHeight="1" x14ac:dyDescent="0.25">
      <c r="A188" s="1">
        <v>27</v>
      </c>
      <c r="B188" s="2">
        <v>225</v>
      </c>
      <c r="C188" s="133" t="s">
        <v>13</v>
      </c>
      <c r="D188" s="2">
        <v>1513</v>
      </c>
      <c r="E188" s="2" t="s">
        <v>413</v>
      </c>
      <c r="F188" s="2" t="s">
        <v>630</v>
      </c>
      <c r="G188" s="2">
        <v>2</v>
      </c>
      <c r="H188" s="3">
        <v>25</v>
      </c>
      <c r="I188" s="3">
        <v>8</v>
      </c>
      <c r="J188" s="3" t="s">
        <v>14</v>
      </c>
      <c r="K188" s="4" t="s">
        <v>15</v>
      </c>
      <c r="L188" s="5" t="s">
        <v>16</v>
      </c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ht="15" customHeight="1" x14ac:dyDescent="0.25">
      <c r="A189" s="1">
        <v>27</v>
      </c>
      <c r="B189" s="2">
        <v>306</v>
      </c>
      <c r="C189" s="133" t="s">
        <v>13</v>
      </c>
      <c r="D189" s="2">
        <v>1512</v>
      </c>
      <c r="E189" s="2" t="s">
        <v>242</v>
      </c>
      <c r="F189" s="2" t="s">
        <v>631</v>
      </c>
      <c r="G189" s="2">
        <v>1</v>
      </c>
      <c r="H189" s="3">
        <v>25</v>
      </c>
      <c r="I189" s="3">
        <v>8</v>
      </c>
      <c r="J189" s="3" t="s">
        <v>27</v>
      </c>
      <c r="K189" s="4" t="s">
        <v>15</v>
      </c>
      <c r="L189" s="5" t="s">
        <v>16</v>
      </c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ht="15" customHeight="1" x14ac:dyDescent="0.25">
      <c r="A190" s="1">
        <v>27</v>
      </c>
      <c r="B190" s="2" t="s">
        <v>406</v>
      </c>
      <c r="C190" s="133" t="s">
        <v>23</v>
      </c>
      <c r="D190" s="204">
        <v>173778</v>
      </c>
      <c r="E190" s="2" t="s">
        <v>252</v>
      </c>
      <c r="F190" s="2" t="s">
        <v>253</v>
      </c>
      <c r="G190" s="2">
        <v>2</v>
      </c>
      <c r="H190" s="3">
        <v>39</v>
      </c>
      <c r="I190" s="3"/>
      <c r="J190" s="3" t="s">
        <v>33</v>
      </c>
      <c r="K190" s="4" t="s">
        <v>15</v>
      </c>
      <c r="L190" s="5" t="s">
        <v>16</v>
      </c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ht="15" customHeight="1" x14ac:dyDescent="0.25">
      <c r="A191" s="1">
        <v>27</v>
      </c>
      <c r="B191" s="2" t="s">
        <v>615</v>
      </c>
      <c r="C191" s="133" t="s">
        <v>13</v>
      </c>
      <c r="D191" s="204">
        <v>1887</v>
      </c>
      <c r="E191" s="2" t="s">
        <v>311</v>
      </c>
      <c r="F191" s="2" t="s">
        <v>76</v>
      </c>
      <c r="G191" s="2">
        <v>2</v>
      </c>
      <c r="H191" s="3">
        <v>25</v>
      </c>
      <c r="I191" s="3">
        <v>8</v>
      </c>
      <c r="J191" s="3" t="s">
        <v>132</v>
      </c>
      <c r="K191" s="4" t="s">
        <v>15</v>
      </c>
      <c r="L191" s="5" t="s">
        <v>16</v>
      </c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ht="15" customHeight="1" x14ac:dyDescent="0.25">
      <c r="A192" s="1">
        <v>27</v>
      </c>
      <c r="B192" s="2" t="s">
        <v>316</v>
      </c>
      <c r="C192" s="133" t="s">
        <v>23</v>
      </c>
      <c r="D192" s="204">
        <v>168957</v>
      </c>
      <c r="E192" s="2" t="s">
        <v>226</v>
      </c>
      <c r="F192" s="2" t="s">
        <v>317</v>
      </c>
      <c r="G192" s="2">
        <v>1</v>
      </c>
      <c r="H192" s="3">
        <v>39</v>
      </c>
      <c r="I192" s="3" t="s">
        <v>34</v>
      </c>
      <c r="J192" s="3" t="s">
        <v>14</v>
      </c>
      <c r="K192" s="4" t="s">
        <v>15</v>
      </c>
      <c r="L192" s="5" t="s">
        <v>16</v>
      </c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ht="15" customHeight="1" x14ac:dyDescent="0.25">
      <c r="A193" s="1">
        <v>28</v>
      </c>
      <c r="B193" s="2" t="s">
        <v>632</v>
      </c>
      <c r="C193" s="133" t="s">
        <v>23</v>
      </c>
      <c r="D193" s="204">
        <v>171269</v>
      </c>
      <c r="E193" s="2" t="s">
        <v>192</v>
      </c>
      <c r="F193" s="2" t="s">
        <v>76</v>
      </c>
      <c r="G193" s="2">
        <v>2</v>
      </c>
      <c r="H193" s="3">
        <v>22</v>
      </c>
      <c r="I193" s="3" t="s">
        <v>34</v>
      </c>
      <c r="J193" s="3" t="s">
        <v>18</v>
      </c>
      <c r="K193" s="4" t="s">
        <v>15</v>
      </c>
      <c r="L193" s="5" t="s">
        <v>16</v>
      </c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ht="15" customHeight="1" x14ac:dyDescent="0.25">
      <c r="A194" s="1">
        <v>28</v>
      </c>
      <c r="B194" s="2">
        <v>115</v>
      </c>
      <c r="C194" s="133" t="s">
        <v>13</v>
      </c>
      <c r="D194" s="2">
        <v>1519</v>
      </c>
      <c r="E194" s="2" t="s">
        <v>192</v>
      </c>
      <c r="F194" s="2" t="s">
        <v>76</v>
      </c>
      <c r="G194" s="2">
        <v>2</v>
      </c>
      <c r="H194" s="3">
        <v>25</v>
      </c>
      <c r="I194" s="3">
        <v>8</v>
      </c>
      <c r="J194" s="3" t="s">
        <v>558</v>
      </c>
      <c r="K194" s="4" t="s">
        <v>15</v>
      </c>
      <c r="L194" s="5" t="s">
        <v>16</v>
      </c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ht="15" customHeight="1" x14ac:dyDescent="0.25">
      <c r="A195" s="1">
        <v>28</v>
      </c>
      <c r="B195" s="2">
        <v>112</v>
      </c>
      <c r="C195" s="133" t="s">
        <v>13</v>
      </c>
      <c r="D195" s="2">
        <v>1522</v>
      </c>
      <c r="E195" s="2" t="s">
        <v>159</v>
      </c>
      <c r="F195" s="2" t="s">
        <v>76</v>
      </c>
      <c r="G195" s="2">
        <v>2</v>
      </c>
      <c r="H195" s="3">
        <v>25</v>
      </c>
      <c r="I195" s="3">
        <v>8</v>
      </c>
      <c r="J195" s="3" t="s">
        <v>558</v>
      </c>
      <c r="K195" s="4" t="s">
        <v>15</v>
      </c>
      <c r="L195" s="5" t="s">
        <v>16</v>
      </c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ht="15" customHeight="1" x14ac:dyDescent="0.25">
      <c r="A196" s="1">
        <v>28</v>
      </c>
      <c r="B196" s="2">
        <v>220</v>
      </c>
      <c r="C196" s="133" t="s">
        <v>13</v>
      </c>
      <c r="D196" s="2">
        <v>1514</v>
      </c>
      <c r="E196" s="2" t="s">
        <v>416</v>
      </c>
      <c r="F196" s="2" t="s">
        <v>76</v>
      </c>
      <c r="G196" s="2">
        <v>2</v>
      </c>
      <c r="H196" s="3">
        <v>25</v>
      </c>
      <c r="I196" s="3">
        <v>8</v>
      </c>
      <c r="J196" s="3" t="s">
        <v>26</v>
      </c>
      <c r="K196" s="4" t="s">
        <v>15</v>
      </c>
      <c r="L196" s="5" t="s">
        <v>16</v>
      </c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ht="15" customHeight="1" x14ac:dyDescent="0.25">
      <c r="A197" s="1">
        <v>28</v>
      </c>
      <c r="B197" s="2" t="s">
        <v>634</v>
      </c>
      <c r="C197" s="133" t="s">
        <v>23</v>
      </c>
      <c r="D197" s="204">
        <v>171457</v>
      </c>
      <c r="E197" s="2" t="s">
        <v>153</v>
      </c>
      <c r="F197" s="2" t="s">
        <v>76</v>
      </c>
      <c r="G197" s="2">
        <v>1</v>
      </c>
      <c r="H197" s="3">
        <v>22</v>
      </c>
      <c r="I197" s="3" t="s">
        <v>34</v>
      </c>
      <c r="J197" s="3" t="s">
        <v>132</v>
      </c>
      <c r="K197" s="4" t="s">
        <v>15</v>
      </c>
      <c r="L197" s="5" t="s">
        <v>16</v>
      </c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ht="15" customHeight="1" x14ac:dyDescent="0.25">
      <c r="A198" s="1">
        <v>28</v>
      </c>
      <c r="B198" s="2">
        <v>320</v>
      </c>
      <c r="C198" s="133" t="s">
        <v>13</v>
      </c>
      <c r="D198" s="2">
        <v>1517</v>
      </c>
      <c r="E198" s="2" t="s">
        <v>121</v>
      </c>
      <c r="F198" s="2" t="s">
        <v>76</v>
      </c>
      <c r="G198" s="2">
        <v>1</v>
      </c>
      <c r="H198" s="3">
        <v>25</v>
      </c>
      <c r="I198" s="3">
        <v>8</v>
      </c>
      <c r="J198" s="3" t="s">
        <v>18</v>
      </c>
      <c r="K198" s="4" t="s">
        <v>15</v>
      </c>
      <c r="L198" s="5" t="s">
        <v>16</v>
      </c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ht="15" customHeight="1" x14ac:dyDescent="0.25">
      <c r="A199" s="1">
        <v>28</v>
      </c>
      <c r="B199" s="2" t="s">
        <v>607</v>
      </c>
      <c r="C199" s="133" t="s">
        <v>13</v>
      </c>
      <c r="D199" s="2">
        <v>499</v>
      </c>
      <c r="E199" s="2" t="s">
        <v>96</v>
      </c>
      <c r="F199" s="2" t="s">
        <v>320</v>
      </c>
      <c r="G199" s="2">
        <v>2</v>
      </c>
      <c r="H199" s="3">
        <v>35</v>
      </c>
      <c r="I199" s="3">
        <v>10</v>
      </c>
      <c r="J199" s="3" t="s">
        <v>27</v>
      </c>
      <c r="K199" s="4" t="s">
        <v>15</v>
      </c>
      <c r="L199" s="5" t="s">
        <v>16</v>
      </c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" customHeight="1" x14ac:dyDescent="0.25">
      <c r="A200" s="1">
        <v>28</v>
      </c>
      <c r="B200" s="2" t="s">
        <v>633</v>
      </c>
      <c r="C200" s="133" t="s">
        <v>13</v>
      </c>
      <c r="D200" s="2">
        <v>1516</v>
      </c>
      <c r="E200" s="2" t="s">
        <v>107</v>
      </c>
      <c r="F200" s="2" t="s">
        <v>76</v>
      </c>
      <c r="G200" s="2">
        <v>2</v>
      </c>
      <c r="H200" s="3">
        <v>30</v>
      </c>
      <c r="I200" s="3">
        <v>9</v>
      </c>
      <c r="J200" s="3" t="s">
        <v>26</v>
      </c>
      <c r="K200" s="4" t="s">
        <v>15</v>
      </c>
      <c r="L200" s="5" t="s">
        <v>16</v>
      </c>
      <c r="M200" s="144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ht="15" customHeight="1" x14ac:dyDescent="0.25">
      <c r="A201" s="1">
        <v>28</v>
      </c>
      <c r="B201" s="2" t="s">
        <v>627</v>
      </c>
      <c r="C201" s="133" t="s">
        <v>13</v>
      </c>
      <c r="D201" s="2">
        <v>1511</v>
      </c>
      <c r="E201" s="2" t="s">
        <v>127</v>
      </c>
      <c r="F201" s="2" t="s">
        <v>76</v>
      </c>
      <c r="G201" s="2">
        <v>4</v>
      </c>
      <c r="H201" s="3">
        <v>40</v>
      </c>
      <c r="I201" s="3">
        <v>12</v>
      </c>
      <c r="J201" s="3" t="s">
        <v>14</v>
      </c>
      <c r="K201" s="4" t="s">
        <v>15</v>
      </c>
      <c r="L201" s="5" t="s">
        <v>16</v>
      </c>
      <c r="M201" s="144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ht="15" customHeight="1" x14ac:dyDescent="0.25">
      <c r="A202" s="1">
        <v>28</v>
      </c>
      <c r="B202" s="2">
        <v>609</v>
      </c>
      <c r="C202" s="133" t="s">
        <v>20</v>
      </c>
      <c r="D202" s="2">
        <v>1524</v>
      </c>
      <c r="E202" s="2" t="s">
        <v>115</v>
      </c>
      <c r="F202" s="2" t="s">
        <v>642</v>
      </c>
      <c r="G202" s="2">
        <v>1</v>
      </c>
      <c r="H202" s="3">
        <v>25</v>
      </c>
      <c r="I202" s="3">
        <v>8</v>
      </c>
      <c r="J202" s="3" t="s">
        <v>14</v>
      </c>
      <c r="K202" s="4" t="s">
        <v>15</v>
      </c>
      <c r="L202" s="5" t="s">
        <v>15</v>
      </c>
      <c r="M202" s="144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ht="15" customHeight="1" x14ac:dyDescent="0.25">
      <c r="A203" s="1">
        <v>28</v>
      </c>
      <c r="B203" s="2" t="s">
        <v>563</v>
      </c>
      <c r="C203" s="133" t="s">
        <v>13</v>
      </c>
      <c r="D203" s="2">
        <v>466</v>
      </c>
      <c r="E203" s="2" t="s">
        <v>309</v>
      </c>
      <c r="F203" s="2" t="s">
        <v>246</v>
      </c>
      <c r="G203" s="2">
        <v>2</v>
      </c>
      <c r="H203" s="3">
        <v>35</v>
      </c>
      <c r="I203" s="3">
        <v>10</v>
      </c>
      <c r="J203" s="3" t="s">
        <v>27</v>
      </c>
      <c r="K203" s="4" t="s">
        <v>15</v>
      </c>
      <c r="L203" s="5" t="s">
        <v>16</v>
      </c>
      <c r="M203" s="144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ht="15" customHeight="1" x14ac:dyDescent="0.25">
      <c r="A204" s="1">
        <v>28</v>
      </c>
      <c r="B204" s="2">
        <v>430</v>
      </c>
      <c r="C204" s="133" t="s">
        <v>13</v>
      </c>
      <c r="D204" s="2">
        <v>1526</v>
      </c>
      <c r="E204" s="2" t="s">
        <v>445</v>
      </c>
      <c r="F204" s="2" t="s">
        <v>76</v>
      </c>
      <c r="G204" s="2">
        <v>2</v>
      </c>
      <c r="H204" s="3">
        <v>25</v>
      </c>
      <c r="I204" s="3">
        <v>8</v>
      </c>
      <c r="J204" s="3" t="s">
        <v>26</v>
      </c>
      <c r="K204" s="4" t="s">
        <v>15</v>
      </c>
      <c r="L204" s="5" t="s">
        <v>16</v>
      </c>
      <c r="M204" s="144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ht="15" customHeight="1" x14ac:dyDescent="0.25">
      <c r="A205" s="1">
        <v>28</v>
      </c>
      <c r="B205" s="2" t="s">
        <v>461</v>
      </c>
      <c r="C205" s="133" t="s">
        <v>23</v>
      </c>
      <c r="D205" s="204">
        <v>174077</v>
      </c>
      <c r="E205" s="2" t="s">
        <v>370</v>
      </c>
      <c r="F205" s="2" t="s">
        <v>517</v>
      </c>
      <c r="G205" s="2">
        <v>2</v>
      </c>
      <c r="H205" s="3">
        <v>39</v>
      </c>
      <c r="I205" s="3" t="s">
        <v>34</v>
      </c>
      <c r="J205" s="3" t="s">
        <v>26</v>
      </c>
      <c r="K205" s="4" t="s">
        <v>15</v>
      </c>
      <c r="L205" s="5" t="s">
        <v>16</v>
      </c>
      <c r="M205" s="144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ht="15" customHeight="1" x14ac:dyDescent="0.25">
      <c r="A206" s="1">
        <v>29</v>
      </c>
      <c r="B206" s="2">
        <v>211</v>
      </c>
      <c r="C206" s="133" t="s">
        <v>13</v>
      </c>
      <c r="D206" s="2">
        <v>1529</v>
      </c>
      <c r="E206" s="2" t="s">
        <v>639</v>
      </c>
      <c r="F206" s="2" t="s">
        <v>76</v>
      </c>
      <c r="G206" s="2">
        <v>2</v>
      </c>
      <c r="H206" s="3">
        <v>30</v>
      </c>
      <c r="I206" s="3">
        <v>9</v>
      </c>
      <c r="J206" s="3" t="s">
        <v>14</v>
      </c>
      <c r="K206" s="4" t="s">
        <v>15</v>
      </c>
      <c r="L206" s="5" t="s">
        <v>16</v>
      </c>
      <c r="M206" s="144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ht="15" customHeight="1" x14ac:dyDescent="0.25">
      <c r="A207" s="1">
        <v>29</v>
      </c>
      <c r="B207" s="2">
        <v>519</v>
      </c>
      <c r="C207" s="133" t="s">
        <v>13</v>
      </c>
      <c r="D207" s="2">
        <v>1523</v>
      </c>
      <c r="E207" s="2" t="s">
        <v>443</v>
      </c>
      <c r="F207" s="2" t="s">
        <v>76</v>
      </c>
      <c r="G207" s="2">
        <v>2</v>
      </c>
      <c r="H207" s="3">
        <v>25</v>
      </c>
      <c r="I207" s="3">
        <v>8</v>
      </c>
      <c r="J207" s="3" t="s">
        <v>14</v>
      </c>
      <c r="K207" s="4" t="s">
        <v>15</v>
      </c>
      <c r="L207" s="5" t="s">
        <v>16</v>
      </c>
      <c r="M207" s="144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ht="15" customHeight="1" x14ac:dyDescent="0.25">
      <c r="A208" s="1">
        <v>29</v>
      </c>
      <c r="B208" s="2" t="s">
        <v>635</v>
      </c>
      <c r="C208" s="133" t="s">
        <v>20</v>
      </c>
      <c r="D208" s="204">
        <v>2899</v>
      </c>
      <c r="E208" s="2" t="s">
        <v>159</v>
      </c>
      <c r="F208" s="2" t="s">
        <v>636</v>
      </c>
      <c r="G208" s="2">
        <v>2</v>
      </c>
      <c r="H208" s="3">
        <v>25</v>
      </c>
      <c r="I208" s="3">
        <v>8</v>
      </c>
      <c r="J208" s="3" t="s">
        <v>27</v>
      </c>
      <c r="K208" s="4" t="s">
        <v>15</v>
      </c>
      <c r="L208" s="5" t="s">
        <v>15</v>
      </c>
      <c r="M208" s="144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ht="15" customHeight="1" x14ac:dyDescent="0.25">
      <c r="A209" s="1">
        <v>29</v>
      </c>
      <c r="B209" s="2" t="s">
        <v>640</v>
      </c>
      <c r="C209" s="133" t="s">
        <v>13</v>
      </c>
      <c r="D209" s="2">
        <v>1533</v>
      </c>
      <c r="E209" s="2" t="s">
        <v>159</v>
      </c>
      <c r="F209" s="2" t="s">
        <v>468</v>
      </c>
      <c r="G209" s="2">
        <v>4</v>
      </c>
      <c r="H209" s="3">
        <v>35</v>
      </c>
      <c r="I209" s="3">
        <v>10</v>
      </c>
      <c r="J209" s="3" t="s">
        <v>593</v>
      </c>
      <c r="K209" s="4" t="s">
        <v>15</v>
      </c>
      <c r="L209" s="5" t="s">
        <v>16</v>
      </c>
      <c r="M209" s="144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ht="15" customHeight="1" x14ac:dyDescent="0.25">
      <c r="A210" s="1">
        <v>29</v>
      </c>
      <c r="B210" s="2">
        <v>430</v>
      </c>
      <c r="C210" s="133" t="s">
        <v>13</v>
      </c>
      <c r="D210" s="2">
        <v>1532</v>
      </c>
      <c r="E210" s="2" t="s">
        <v>413</v>
      </c>
      <c r="F210" s="2" t="s">
        <v>76</v>
      </c>
      <c r="G210" s="2">
        <v>2</v>
      </c>
      <c r="H210" s="3">
        <v>25</v>
      </c>
      <c r="I210" s="3">
        <v>8</v>
      </c>
      <c r="J210" s="3" t="s">
        <v>593</v>
      </c>
      <c r="K210" s="4" t="s">
        <v>15</v>
      </c>
      <c r="L210" s="5" t="s">
        <v>16</v>
      </c>
      <c r="M210" s="144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ht="15" customHeight="1" x14ac:dyDescent="0.25">
      <c r="A211" s="1">
        <v>29</v>
      </c>
      <c r="B211" s="2">
        <v>217</v>
      </c>
      <c r="C211" s="133" t="s">
        <v>13</v>
      </c>
      <c r="D211" s="2">
        <v>1528</v>
      </c>
      <c r="E211" s="2" t="s">
        <v>242</v>
      </c>
      <c r="F211" s="2" t="s">
        <v>76</v>
      </c>
      <c r="G211" s="2">
        <v>1</v>
      </c>
      <c r="H211" s="3">
        <v>25</v>
      </c>
      <c r="I211" s="3">
        <v>8</v>
      </c>
      <c r="J211" s="3" t="s">
        <v>14</v>
      </c>
      <c r="K211" s="4" t="s">
        <v>15</v>
      </c>
      <c r="L211" s="5" t="s">
        <v>16</v>
      </c>
      <c r="M211" s="144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ht="15" customHeight="1" x14ac:dyDescent="0.25">
      <c r="A212" s="1">
        <v>29</v>
      </c>
      <c r="B212" s="2" t="s">
        <v>641</v>
      </c>
      <c r="C212" s="133" t="s">
        <v>20</v>
      </c>
      <c r="D212" s="2">
        <v>1531</v>
      </c>
      <c r="E212" s="2" t="s">
        <v>96</v>
      </c>
      <c r="F212" s="2" t="s">
        <v>638</v>
      </c>
      <c r="G212" s="2">
        <v>2</v>
      </c>
      <c r="H212" s="3">
        <v>35</v>
      </c>
      <c r="I212" s="3">
        <v>10</v>
      </c>
      <c r="J212" s="3" t="s">
        <v>593</v>
      </c>
      <c r="K212" s="4" t="s">
        <v>15</v>
      </c>
      <c r="L212" s="5" t="s">
        <v>15</v>
      </c>
      <c r="M212" s="144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ht="15" customHeight="1" x14ac:dyDescent="0.25">
      <c r="A213" s="1">
        <v>29</v>
      </c>
      <c r="B213" s="2">
        <v>501</v>
      </c>
      <c r="C213" s="133" t="s">
        <v>13</v>
      </c>
      <c r="D213" s="2">
        <v>1518</v>
      </c>
      <c r="E213" s="2" t="s">
        <v>127</v>
      </c>
      <c r="F213" s="2" t="s">
        <v>76</v>
      </c>
      <c r="G213" s="2">
        <v>2</v>
      </c>
      <c r="H213" s="3">
        <v>25</v>
      </c>
      <c r="I213" s="3">
        <v>8</v>
      </c>
      <c r="J213" s="3" t="s">
        <v>593</v>
      </c>
      <c r="K213" s="4" t="s">
        <v>15</v>
      </c>
      <c r="L213" s="5" t="s">
        <v>16</v>
      </c>
      <c r="M213" s="144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ht="15" customHeight="1" x14ac:dyDescent="0.25">
      <c r="A214" s="1">
        <v>29</v>
      </c>
      <c r="B214" s="2" t="s">
        <v>628</v>
      </c>
      <c r="C214" s="133" t="s">
        <v>23</v>
      </c>
      <c r="D214" s="204">
        <v>162834</v>
      </c>
      <c r="E214" s="2" t="s">
        <v>160</v>
      </c>
      <c r="F214" s="2" t="s">
        <v>76</v>
      </c>
      <c r="G214" s="2">
        <v>2</v>
      </c>
      <c r="H214" s="3">
        <v>22</v>
      </c>
      <c r="I214" s="3" t="s">
        <v>34</v>
      </c>
      <c r="J214" s="3" t="s">
        <v>18</v>
      </c>
      <c r="K214" s="4" t="s">
        <v>15</v>
      </c>
      <c r="L214" s="5" t="s">
        <v>16</v>
      </c>
      <c r="M214" s="144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ht="15" customHeight="1" x14ac:dyDescent="0.25">
      <c r="A215" s="1">
        <v>29</v>
      </c>
      <c r="B215" s="2" t="s">
        <v>318</v>
      </c>
      <c r="C215" s="133" t="s">
        <v>13</v>
      </c>
      <c r="D215" s="204">
        <v>2127</v>
      </c>
      <c r="E215" s="9" t="s">
        <v>252</v>
      </c>
      <c r="F215" s="2" t="s">
        <v>253</v>
      </c>
      <c r="G215" s="2">
        <v>2</v>
      </c>
      <c r="H215" s="3">
        <v>35</v>
      </c>
      <c r="I215" s="3">
        <v>10</v>
      </c>
      <c r="J215" s="3" t="s">
        <v>18</v>
      </c>
      <c r="K215" s="4" t="s">
        <v>15</v>
      </c>
      <c r="L215" s="5" t="s">
        <v>16</v>
      </c>
      <c r="M215" s="144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ht="15" customHeight="1" x14ac:dyDescent="0.25">
      <c r="A216" s="1">
        <v>29</v>
      </c>
      <c r="B216" s="2">
        <v>423</v>
      </c>
      <c r="C216" s="133" t="s">
        <v>13</v>
      </c>
      <c r="D216" s="2">
        <v>1527</v>
      </c>
      <c r="E216" s="2" t="s">
        <v>322</v>
      </c>
      <c r="F216" s="2" t="s">
        <v>76</v>
      </c>
      <c r="G216" s="2">
        <v>2</v>
      </c>
      <c r="H216" s="3">
        <v>25</v>
      </c>
      <c r="I216" s="3">
        <v>8</v>
      </c>
      <c r="J216" s="3" t="s">
        <v>14</v>
      </c>
      <c r="K216" s="4" t="s">
        <v>15</v>
      </c>
      <c r="L216" s="5" t="s">
        <v>16</v>
      </c>
      <c r="M216" s="144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ht="15" customHeight="1" x14ac:dyDescent="0.25">
      <c r="A217" s="1">
        <v>29</v>
      </c>
      <c r="B217" s="2" t="s">
        <v>570</v>
      </c>
      <c r="C217" s="133" t="s">
        <v>13</v>
      </c>
      <c r="D217" s="2">
        <v>477</v>
      </c>
      <c r="E217" s="2" t="s">
        <v>166</v>
      </c>
      <c r="F217" s="2" t="s">
        <v>596</v>
      </c>
      <c r="G217" s="2">
        <v>2</v>
      </c>
      <c r="H217" s="3">
        <v>35</v>
      </c>
      <c r="I217" s="3">
        <v>10</v>
      </c>
      <c r="J217" s="3" t="s">
        <v>14</v>
      </c>
      <c r="K217" s="4" t="s">
        <v>15</v>
      </c>
      <c r="L217" s="5" t="s">
        <v>16</v>
      </c>
      <c r="M217" s="144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ht="15" customHeight="1" x14ac:dyDescent="0.25">
      <c r="A218" s="1">
        <v>29</v>
      </c>
      <c r="B218" s="2">
        <v>407</v>
      </c>
      <c r="C218" s="133" t="s">
        <v>13</v>
      </c>
      <c r="D218" s="2">
        <v>1525</v>
      </c>
      <c r="E218" s="2" t="s">
        <v>371</v>
      </c>
      <c r="F218" s="2" t="s">
        <v>76</v>
      </c>
      <c r="G218" s="2">
        <v>2</v>
      </c>
      <c r="H218" s="3">
        <v>25</v>
      </c>
      <c r="I218" s="3">
        <v>8</v>
      </c>
      <c r="J218" s="3" t="s">
        <v>26</v>
      </c>
      <c r="K218" s="4" t="s">
        <v>15</v>
      </c>
      <c r="L218" s="5" t="s">
        <v>16</v>
      </c>
      <c r="M218" s="144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ht="15" customHeight="1" x14ac:dyDescent="0.25">
      <c r="A219" s="1">
        <v>29</v>
      </c>
      <c r="B219" s="2" t="s">
        <v>646</v>
      </c>
      <c r="C219" s="133" t="s">
        <v>13</v>
      </c>
      <c r="D219" s="2">
        <v>1541</v>
      </c>
      <c r="E219" s="2" t="s">
        <v>645</v>
      </c>
      <c r="F219" s="2" t="s">
        <v>647</v>
      </c>
      <c r="G219" s="2">
        <v>2</v>
      </c>
      <c r="H219" s="3">
        <v>35</v>
      </c>
      <c r="I219" s="3">
        <v>10</v>
      </c>
      <c r="J219" s="3" t="s">
        <v>18</v>
      </c>
      <c r="K219" s="4" t="s">
        <v>16</v>
      </c>
      <c r="L219" s="5" t="s">
        <v>16</v>
      </c>
      <c r="M219" s="144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ht="15" customHeight="1" x14ac:dyDescent="0.25">
      <c r="A220" s="1">
        <v>29</v>
      </c>
      <c r="B220" s="2" t="s">
        <v>649</v>
      </c>
      <c r="C220" s="133" t="s">
        <v>22</v>
      </c>
      <c r="D220" s="2" t="s">
        <v>21</v>
      </c>
      <c r="E220" s="2" t="s">
        <v>21</v>
      </c>
      <c r="F220" s="2" t="s">
        <v>470</v>
      </c>
      <c r="G220" s="2">
        <v>2</v>
      </c>
      <c r="H220" s="3">
        <v>72</v>
      </c>
      <c r="I220" s="3">
        <v>18</v>
      </c>
      <c r="J220" s="226" t="s">
        <v>18</v>
      </c>
      <c r="K220" s="4" t="s">
        <v>15</v>
      </c>
      <c r="L220" s="5" t="s">
        <v>16</v>
      </c>
      <c r="M220" s="144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ht="15" customHeight="1" x14ac:dyDescent="0.25">
      <c r="A221" s="1">
        <v>30</v>
      </c>
      <c r="B221" s="2" t="s">
        <v>319</v>
      </c>
      <c r="C221" s="133" t="s">
        <v>23</v>
      </c>
      <c r="D221" s="204">
        <v>166066</v>
      </c>
      <c r="E221" s="2" t="s">
        <v>96</v>
      </c>
      <c r="F221" s="2" t="s">
        <v>320</v>
      </c>
      <c r="G221" s="2">
        <v>2</v>
      </c>
      <c r="H221" s="3">
        <v>39</v>
      </c>
      <c r="I221" s="3" t="s">
        <v>34</v>
      </c>
      <c r="J221" s="3" t="s">
        <v>181</v>
      </c>
      <c r="K221" s="4" t="s">
        <v>15</v>
      </c>
      <c r="L221" s="5" t="s">
        <v>16</v>
      </c>
      <c r="M221" s="144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ht="15" customHeight="1" x14ac:dyDescent="0.25">
      <c r="A222" s="1">
        <v>30</v>
      </c>
      <c r="B222" s="2">
        <v>303</v>
      </c>
      <c r="C222" s="133" t="s">
        <v>13</v>
      </c>
      <c r="D222" s="2">
        <v>1535</v>
      </c>
      <c r="E222" s="2" t="s">
        <v>127</v>
      </c>
      <c r="F222" s="2" t="s">
        <v>78</v>
      </c>
      <c r="G222" s="2">
        <v>2</v>
      </c>
      <c r="H222" s="3">
        <v>25</v>
      </c>
      <c r="I222" s="3">
        <v>8</v>
      </c>
      <c r="J222" s="3" t="s">
        <v>14</v>
      </c>
      <c r="K222" s="4" t="s">
        <v>15</v>
      </c>
      <c r="L222" s="5" t="s">
        <v>16</v>
      </c>
      <c r="M222" s="144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ht="15" customHeight="1" x14ac:dyDescent="0.25">
      <c r="A223" s="1">
        <v>30</v>
      </c>
      <c r="B223" s="2">
        <v>420</v>
      </c>
      <c r="C223" s="133" t="s">
        <v>13</v>
      </c>
      <c r="D223" s="2">
        <v>1534</v>
      </c>
      <c r="E223" s="2" t="s">
        <v>201</v>
      </c>
      <c r="F223" s="2" t="s">
        <v>76</v>
      </c>
      <c r="G223" s="2">
        <v>1</v>
      </c>
      <c r="H223" s="3">
        <v>25</v>
      </c>
      <c r="I223" s="3">
        <v>8</v>
      </c>
      <c r="J223" s="3" t="s">
        <v>14</v>
      </c>
      <c r="K223" s="4" t="s">
        <v>15</v>
      </c>
      <c r="L223" s="5" t="s">
        <v>16</v>
      </c>
      <c r="M223" s="144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ht="15" customHeight="1" x14ac:dyDescent="0.25">
      <c r="A224" s="1">
        <v>30</v>
      </c>
      <c r="B224" s="2" t="s">
        <v>518</v>
      </c>
      <c r="C224" s="133" t="s">
        <v>23</v>
      </c>
      <c r="D224" s="204">
        <v>168590</v>
      </c>
      <c r="E224" s="2" t="s">
        <v>483</v>
      </c>
      <c r="F224" s="2" t="s">
        <v>543</v>
      </c>
      <c r="G224" s="2">
        <v>2</v>
      </c>
      <c r="H224" s="3">
        <v>39</v>
      </c>
      <c r="I224" s="3" t="s">
        <v>34</v>
      </c>
      <c r="J224" s="3" t="s">
        <v>18</v>
      </c>
      <c r="K224" s="4" t="s">
        <v>15</v>
      </c>
      <c r="L224" s="5" t="s">
        <v>16</v>
      </c>
      <c r="M224" s="144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ht="15" customHeight="1" x14ac:dyDescent="0.25">
      <c r="A225" s="1">
        <v>30</v>
      </c>
      <c r="B225" s="2">
        <v>409</v>
      </c>
      <c r="C225" s="133" t="s">
        <v>13</v>
      </c>
      <c r="D225" s="2">
        <v>1530</v>
      </c>
      <c r="E225" s="9" t="s">
        <v>89</v>
      </c>
      <c r="F225" s="2" t="s">
        <v>76</v>
      </c>
      <c r="G225" s="2">
        <v>1</v>
      </c>
      <c r="H225" s="3">
        <v>25</v>
      </c>
      <c r="I225" s="3">
        <v>8</v>
      </c>
      <c r="J225" s="3" t="s">
        <v>593</v>
      </c>
      <c r="K225" s="4" t="s">
        <v>15</v>
      </c>
      <c r="L225" s="5" t="s">
        <v>16</v>
      </c>
      <c r="M225" s="144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ht="15" customHeight="1" x14ac:dyDescent="0.25">
      <c r="A226" s="1">
        <v>30</v>
      </c>
      <c r="B226" s="2" t="s">
        <v>519</v>
      </c>
      <c r="C226" s="133" t="s">
        <v>13</v>
      </c>
      <c r="D226" s="204">
        <v>174120</v>
      </c>
      <c r="E226" s="2" t="s">
        <v>273</v>
      </c>
      <c r="F226" s="2" t="s">
        <v>474</v>
      </c>
      <c r="G226" s="2">
        <v>1</v>
      </c>
      <c r="H226" s="3">
        <v>35</v>
      </c>
      <c r="I226" s="3">
        <v>10</v>
      </c>
      <c r="J226" s="3" t="s">
        <v>18</v>
      </c>
      <c r="K226" s="4" t="s">
        <v>15</v>
      </c>
      <c r="L226" s="5" t="s">
        <v>16</v>
      </c>
      <c r="M226" s="144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ht="15" customHeight="1" x14ac:dyDescent="0.25">
      <c r="A227" s="1">
        <v>30</v>
      </c>
      <c r="B227" s="2">
        <v>102</v>
      </c>
      <c r="C227" s="133" t="s">
        <v>13</v>
      </c>
      <c r="D227" s="2">
        <v>1536</v>
      </c>
      <c r="E227" s="2" t="s">
        <v>155</v>
      </c>
      <c r="F227" s="2" t="s">
        <v>76</v>
      </c>
      <c r="G227" s="2">
        <v>2</v>
      </c>
      <c r="H227" s="3">
        <v>25</v>
      </c>
      <c r="I227" s="3">
        <v>8</v>
      </c>
      <c r="J227" s="3" t="s">
        <v>27</v>
      </c>
      <c r="K227" s="4" t="s">
        <v>15</v>
      </c>
      <c r="L227" s="5" t="s">
        <v>16</v>
      </c>
      <c r="M227" s="144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ht="15" customHeight="1" x14ac:dyDescent="0.25">
      <c r="A228" s="1">
        <v>30</v>
      </c>
      <c r="B228" s="2">
        <v>408</v>
      </c>
      <c r="C228" s="133" t="s">
        <v>13</v>
      </c>
      <c r="D228" s="2">
        <v>1537</v>
      </c>
      <c r="E228" s="2" t="s">
        <v>494</v>
      </c>
      <c r="F228" s="2" t="s">
        <v>76</v>
      </c>
      <c r="G228" s="2">
        <v>2</v>
      </c>
      <c r="H228" s="3">
        <v>25</v>
      </c>
      <c r="I228" s="3">
        <v>8</v>
      </c>
      <c r="J228" s="3" t="s">
        <v>592</v>
      </c>
      <c r="K228" s="4" t="s">
        <v>15</v>
      </c>
      <c r="L228" s="5" t="s">
        <v>16</v>
      </c>
      <c r="M228" s="144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ht="15" customHeight="1" x14ac:dyDescent="0.25">
      <c r="A229" s="1">
        <v>30</v>
      </c>
      <c r="B229" s="2">
        <v>224</v>
      </c>
      <c r="C229" s="133" t="s">
        <v>13</v>
      </c>
      <c r="D229" s="2">
        <v>1540</v>
      </c>
      <c r="E229" s="2" t="s">
        <v>445</v>
      </c>
      <c r="F229" s="2" t="s">
        <v>76</v>
      </c>
      <c r="G229" s="2">
        <v>2</v>
      </c>
      <c r="H229" s="3">
        <v>25</v>
      </c>
      <c r="I229" s="3">
        <v>8</v>
      </c>
      <c r="J229" s="3" t="s">
        <v>592</v>
      </c>
      <c r="K229" s="4" t="s">
        <v>15</v>
      </c>
      <c r="L229" s="5" t="s">
        <v>16</v>
      </c>
      <c r="M229" s="144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ht="15" customHeight="1" x14ac:dyDescent="0.25">
      <c r="A230" s="1">
        <v>30</v>
      </c>
      <c r="B230" s="2">
        <v>309</v>
      </c>
      <c r="C230" s="133" t="s">
        <v>13</v>
      </c>
      <c r="D230" s="2">
        <v>1543</v>
      </c>
      <c r="E230" s="2" t="s">
        <v>160</v>
      </c>
      <c r="F230" s="2" t="s">
        <v>76</v>
      </c>
      <c r="G230" s="2">
        <v>1</v>
      </c>
      <c r="H230" s="3">
        <v>25</v>
      </c>
      <c r="I230" s="3">
        <v>8</v>
      </c>
      <c r="J230" s="3" t="s">
        <v>18</v>
      </c>
      <c r="K230" s="4" t="s">
        <v>15</v>
      </c>
      <c r="L230" s="5" t="s">
        <v>16</v>
      </c>
      <c r="M230" s="144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ht="15" customHeight="1" x14ac:dyDescent="0.25">
      <c r="A231" s="1"/>
      <c r="B231" s="2"/>
      <c r="C231" s="133"/>
      <c r="D231" s="2"/>
      <c r="E231" s="2"/>
      <c r="F231" s="2"/>
      <c r="G231" s="2"/>
      <c r="H231" s="3"/>
      <c r="I231" s="3"/>
      <c r="J231" s="3"/>
      <c r="K231" s="4"/>
      <c r="L231" s="5"/>
      <c r="M231" s="144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ht="15" customHeight="1" x14ac:dyDescent="0.25">
      <c r="A232" s="1"/>
      <c r="B232" s="2"/>
      <c r="C232" s="133"/>
      <c r="D232" s="2"/>
      <c r="E232" s="2"/>
      <c r="F232" s="2"/>
      <c r="G232" s="2"/>
      <c r="H232" s="3"/>
      <c r="I232" s="3"/>
      <c r="J232" s="3"/>
      <c r="K232" s="4"/>
      <c r="L232" s="5"/>
      <c r="M232" s="144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ht="15" customHeight="1" x14ac:dyDescent="0.25">
      <c r="A233" s="1"/>
      <c r="B233" s="2"/>
      <c r="C233" s="133"/>
      <c r="D233" s="2"/>
      <c r="E233" s="2"/>
      <c r="F233" s="2"/>
      <c r="G233" s="2"/>
      <c r="H233" s="3"/>
      <c r="I233" s="3"/>
      <c r="J233" s="3"/>
      <c r="K233" s="4"/>
      <c r="L233" s="5"/>
      <c r="M233" s="144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"/>
      <c r="B234" s="2"/>
      <c r="C234" s="133"/>
      <c r="D234" s="2"/>
      <c r="E234" s="2"/>
      <c r="F234" s="2"/>
      <c r="G234" s="2"/>
      <c r="H234" s="3"/>
      <c r="I234" s="3"/>
      <c r="J234" s="3"/>
      <c r="K234" s="4"/>
      <c r="L234" s="5"/>
      <c r="M234" s="144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ht="15.75" thickBot="1" x14ac:dyDescent="0.3">
      <c r="A235" s="11"/>
      <c r="B235" s="12"/>
      <c r="C235" s="134"/>
      <c r="D235" s="12"/>
      <c r="E235" s="12"/>
      <c r="F235" s="12"/>
      <c r="G235" s="12"/>
      <c r="H235" s="13"/>
      <c r="I235" s="13"/>
      <c r="J235" s="13"/>
      <c r="K235" s="12"/>
      <c r="L235" s="14"/>
      <c r="M235" s="144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5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5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3"/>
      <c r="AY372" s="143"/>
      <c r="AZ372" s="143"/>
      <c r="BA372" s="143"/>
      <c r="BB372" s="143"/>
      <c r="BC372" s="143"/>
    </row>
    <row r="373" spans="1:55" x14ac:dyDescent="0.25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3"/>
      <c r="AY373" s="143"/>
      <c r="AZ373" s="143"/>
      <c r="BA373" s="143"/>
      <c r="BB373" s="143"/>
      <c r="BC373" s="143"/>
    </row>
    <row r="374" spans="1:55" x14ac:dyDescent="0.25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3"/>
      <c r="AY374" s="143"/>
      <c r="AZ374" s="143"/>
      <c r="BA374" s="143"/>
      <c r="BB374" s="143"/>
      <c r="BC374" s="143"/>
    </row>
    <row r="375" spans="1:55" x14ac:dyDescent="0.2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  <c r="AY375" s="143"/>
      <c r="AZ375" s="143"/>
      <c r="BA375" s="143"/>
      <c r="BB375" s="143"/>
      <c r="BC375" s="143"/>
    </row>
    <row r="376" spans="1:55" x14ac:dyDescent="0.25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3"/>
      <c r="AY376" s="143"/>
      <c r="AZ376" s="143"/>
      <c r="BA376" s="143"/>
      <c r="BB376" s="143"/>
      <c r="BC376" s="143"/>
    </row>
    <row r="377" spans="1:55" x14ac:dyDescent="0.25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3"/>
      <c r="AY377" s="143"/>
      <c r="AZ377" s="143"/>
      <c r="BA377" s="143"/>
      <c r="BB377" s="143"/>
      <c r="BC377" s="143"/>
    </row>
    <row r="378" spans="1:55" x14ac:dyDescent="0.25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3"/>
      <c r="AY378" s="143"/>
      <c r="AZ378" s="143"/>
      <c r="BA378" s="143"/>
      <c r="BB378" s="143"/>
      <c r="BC378" s="143"/>
    </row>
    <row r="379" spans="1:55" x14ac:dyDescent="0.25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3"/>
      <c r="AY379" s="143"/>
      <c r="AZ379" s="143"/>
      <c r="BA379" s="143"/>
      <c r="BB379" s="143"/>
      <c r="BC379" s="143"/>
    </row>
    <row r="380" spans="1:55" x14ac:dyDescent="0.25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3"/>
      <c r="AY380" s="143"/>
      <c r="AZ380" s="143"/>
      <c r="BA380" s="143"/>
      <c r="BB380" s="143"/>
      <c r="BC380" s="143"/>
    </row>
    <row r="381" spans="1:55" x14ac:dyDescent="0.25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3"/>
      <c r="AY381" s="143"/>
      <c r="AZ381" s="143"/>
      <c r="BA381" s="143"/>
      <c r="BB381" s="143"/>
      <c r="BC381" s="143"/>
    </row>
    <row r="382" spans="1:55" x14ac:dyDescent="0.25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43"/>
      <c r="AZ382" s="143"/>
      <c r="BA382" s="143"/>
      <c r="BB382" s="143"/>
      <c r="BC382" s="143"/>
    </row>
    <row r="383" spans="1:55" x14ac:dyDescent="0.25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  <c r="AY383" s="143"/>
      <c r="AZ383" s="143"/>
      <c r="BA383" s="143"/>
      <c r="BB383" s="143"/>
      <c r="BC383" s="143"/>
    </row>
    <row r="384" spans="1:55" x14ac:dyDescent="0.25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  <c r="AY384" s="143"/>
      <c r="AZ384" s="143"/>
      <c r="BA384" s="143"/>
      <c r="BB384" s="143"/>
      <c r="BC384" s="143"/>
    </row>
    <row r="385" spans="1:55" x14ac:dyDescent="0.2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3"/>
      <c r="AY385" s="143"/>
      <c r="AZ385" s="143"/>
      <c r="BA385" s="143"/>
      <c r="BB385" s="143"/>
      <c r="BC385" s="143"/>
    </row>
    <row r="386" spans="1:55" x14ac:dyDescent="0.25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3"/>
      <c r="AY386" s="143"/>
      <c r="AZ386" s="143"/>
      <c r="BA386" s="143"/>
      <c r="BB386" s="143"/>
      <c r="BC386" s="143"/>
    </row>
    <row r="387" spans="1:55" x14ac:dyDescent="0.25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3"/>
      <c r="AY387" s="143"/>
      <c r="AZ387" s="143"/>
      <c r="BA387" s="143"/>
      <c r="BB387" s="143"/>
      <c r="BC387" s="143"/>
    </row>
    <row r="388" spans="1:55" x14ac:dyDescent="0.25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3"/>
      <c r="AY388" s="143"/>
      <c r="AZ388" s="143"/>
      <c r="BA388" s="143"/>
      <c r="BB388" s="143"/>
      <c r="BC388" s="143"/>
    </row>
    <row r="389" spans="1:55" x14ac:dyDescent="0.25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3"/>
      <c r="AY389" s="143"/>
      <c r="AZ389" s="143"/>
      <c r="BA389" s="143"/>
      <c r="BB389" s="143"/>
      <c r="BC389" s="143"/>
    </row>
    <row r="390" spans="1:55" x14ac:dyDescent="0.25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3"/>
      <c r="AY390" s="143"/>
      <c r="AZ390" s="143"/>
      <c r="BA390" s="143"/>
      <c r="BB390" s="143"/>
      <c r="BC390" s="143"/>
    </row>
    <row r="391" spans="1:55" x14ac:dyDescent="0.25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3"/>
      <c r="AY391" s="143"/>
      <c r="AZ391" s="143"/>
      <c r="BA391" s="143"/>
      <c r="BB391" s="143"/>
      <c r="BC391" s="143"/>
    </row>
    <row r="392" spans="1:55" x14ac:dyDescent="0.25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3"/>
      <c r="AY392" s="143"/>
      <c r="AZ392" s="143"/>
      <c r="BA392" s="143"/>
      <c r="BB392" s="143"/>
      <c r="BC392" s="143"/>
    </row>
    <row r="393" spans="1:55" x14ac:dyDescent="0.25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3"/>
      <c r="AY393" s="143"/>
      <c r="AZ393" s="143"/>
      <c r="BA393" s="143"/>
      <c r="BB393" s="143"/>
      <c r="BC393" s="143"/>
    </row>
    <row r="394" spans="1:55" x14ac:dyDescent="0.25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3"/>
      <c r="AY394" s="143"/>
      <c r="AZ394" s="143"/>
      <c r="BA394" s="143"/>
      <c r="BB394" s="143"/>
      <c r="BC394" s="143"/>
    </row>
    <row r="395" spans="1:55" x14ac:dyDescent="0.2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3"/>
      <c r="AY395" s="143"/>
      <c r="AZ395" s="143"/>
      <c r="BA395" s="143"/>
      <c r="BB395" s="143"/>
      <c r="BC395" s="143"/>
    </row>
    <row r="396" spans="1:55" x14ac:dyDescent="0.25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  <c r="AT396" s="143"/>
      <c r="AU396" s="143"/>
      <c r="AV396" s="143"/>
      <c r="AW396" s="143"/>
      <c r="AX396" s="143"/>
      <c r="AY396" s="143"/>
      <c r="AZ396" s="143"/>
      <c r="BA396" s="143"/>
      <c r="BB396" s="143"/>
      <c r="BC396" s="143"/>
    </row>
    <row r="397" spans="1:55" x14ac:dyDescent="0.25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3"/>
      <c r="AY397" s="143"/>
      <c r="AZ397" s="143"/>
      <c r="BA397" s="143"/>
      <c r="BB397" s="143"/>
      <c r="BC397" s="143"/>
    </row>
    <row r="398" spans="1:55" x14ac:dyDescent="0.25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3"/>
      <c r="AY398" s="143"/>
      <c r="AZ398" s="143"/>
      <c r="BA398" s="143"/>
      <c r="BB398" s="143"/>
      <c r="BC398" s="143"/>
    </row>
    <row r="399" spans="1:55" x14ac:dyDescent="0.25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3"/>
      <c r="AY399" s="143"/>
      <c r="AZ399" s="143"/>
      <c r="BA399" s="143"/>
      <c r="BB399" s="143"/>
      <c r="BC399" s="143"/>
    </row>
    <row r="400" spans="1:55" x14ac:dyDescent="0.25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3"/>
      <c r="AY400" s="143"/>
      <c r="AZ400" s="143"/>
      <c r="BA400" s="143"/>
      <c r="BB400" s="143"/>
      <c r="BC400" s="143"/>
    </row>
    <row r="401" spans="1:55" x14ac:dyDescent="0.25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3"/>
      <c r="AY401" s="143"/>
      <c r="AZ401" s="143"/>
      <c r="BA401" s="143"/>
      <c r="BB401" s="143"/>
      <c r="BC401" s="143"/>
    </row>
    <row r="402" spans="1:55" x14ac:dyDescent="0.25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3"/>
      <c r="AY402" s="143"/>
      <c r="AZ402" s="143"/>
      <c r="BA402" s="143"/>
      <c r="BB402" s="143"/>
      <c r="BC402" s="143"/>
    </row>
    <row r="403" spans="1:55" x14ac:dyDescent="0.25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3"/>
      <c r="AY403" s="143"/>
      <c r="AZ403" s="143"/>
      <c r="BA403" s="143"/>
      <c r="BB403" s="143"/>
      <c r="BC403" s="143"/>
    </row>
    <row r="404" spans="1:55" x14ac:dyDescent="0.25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3"/>
      <c r="AY404" s="143"/>
      <c r="AZ404" s="143"/>
      <c r="BA404" s="143"/>
      <c r="BB404" s="143"/>
      <c r="BC404" s="143"/>
    </row>
    <row r="405" spans="1:55" x14ac:dyDescent="0.2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O405" s="143"/>
      <c r="P405" s="143"/>
      <c r="Q405" s="143"/>
      <c r="R405" s="143"/>
      <c r="S405" s="143"/>
      <c r="T405" s="143"/>
      <c r="U405" s="143"/>
      <c r="V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3"/>
      <c r="AY405" s="143"/>
      <c r="AZ405" s="143"/>
      <c r="BA405" s="143"/>
      <c r="BB405" s="143"/>
      <c r="BC405" s="143"/>
    </row>
    <row r="406" spans="1:55" x14ac:dyDescent="0.25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O406" s="143"/>
      <c r="P406" s="143"/>
      <c r="Q406" s="143"/>
      <c r="R406" s="143"/>
      <c r="S406" s="143"/>
      <c r="T406" s="143"/>
      <c r="U406" s="143"/>
      <c r="V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3"/>
      <c r="AY406" s="143"/>
      <c r="AZ406" s="143"/>
      <c r="BA406" s="143"/>
      <c r="BB406" s="143"/>
      <c r="BC406" s="143"/>
    </row>
    <row r="407" spans="1:55" x14ac:dyDescent="0.25">
      <c r="D407"/>
      <c r="O407" s="143"/>
      <c r="P407" s="143"/>
      <c r="Q407" s="143"/>
      <c r="R407" s="143"/>
      <c r="S407" s="143"/>
      <c r="T407" s="143"/>
      <c r="U407" s="143"/>
      <c r="V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AW407" s="143"/>
      <c r="AX407" s="143"/>
      <c r="AY407" s="143"/>
      <c r="AZ407" s="143"/>
      <c r="BA407" s="143"/>
      <c r="BB407" s="143"/>
      <c r="BC407" s="143"/>
    </row>
    <row r="408" spans="1:55" x14ac:dyDescent="0.25">
      <c r="D408"/>
      <c r="O408" s="143"/>
      <c r="P408" s="143"/>
      <c r="Q408" s="143"/>
      <c r="R408" s="143"/>
      <c r="S408" s="143"/>
      <c r="T408" s="143"/>
      <c r="U408" s="143"/>
      <c r="V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3"/>
      <c r="AY408" s="143"/>
      <c r="AZ408" s="143"/>
      <c r="BA408" s="143"/>
      <c r="BB408" s="143"/>
      <c r="BC408" s="143"/>
    </row>
    <row r="409" spans="1:55" x14ac:dyDescent="0.25">
      <c r="D409"/>
      <c r="O409" s="143"/>
      <c r="P409" s="143"/>
      <c r="Q409" s="143"/>
      <c r="R409" s="143"/>
      <c r="S409" s="143"/>
      <c r="T409" s="143"/>
      <c r="U409" s="143"/>
      <c r="V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3"/>
      <c r="AY409" s="143"/>
      <c r="AZ409" s="143"/>
      <c r="BA409" s="143"/>
      <c r="BB409" s="143"/>
      <c r="BC409" s="143"/>
    </row>
    <row r="410" spans="1:55" x14ac:dyDescent="0.25">
      <c r="D410"/>
      <c r="O410" s="143"/>
      <c r="P410" s="143"/>
      <c r="Q410" s="143"/>
      <c r="R410" s="143"/>
      <c r="S410" s="143"/>
      <c r="T410" s="143"/>
      <c r="U410" s="143"/>
      <c r="V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3"/>
      <c r="AY410" s="143"/>
      <c r="AZ410" s="143"/>
      <c r="BA410" s="143"/>
      <c r="BB410" s="143"/>
      <c r="BC410" s="143"/>
    </row>
    <row r="411" spans="1:55" x14ac:dyDescent="0.25">
      <c r="D411"/>
      <c r="O411" s="143"/>
      <c r="P411" s="143"/>
      <c r="Q411" s="143"/>
      <c r="R411" s="143"/>
      <c r="S411" s="143"/>
      <c r="T411" s="143"/>
      <c r="U411" s="143"/>
      <c r="V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3"/>
      <c r="AY411" s="143"/>
      <c r="AZ411" s="143"/>
      <c r="BA411" s="143"/>
      <c r="BB411" s="143"/>
      <c r="BC411" s="143"/>
    </row>
    <row r="412" spans="1:55" x14ac:dyDescent="0.25">
      <c r="D412"/>
      <c r="O412" s="143"/>
      <c r="P412" s="143"/>
      <c r="Q412" s="143"/>
      <c r="R412" s="143"/>
      <c r="S412" s="143"/>
      <c r="T412" s="143"/>
      <c r="U412" s="143"/>
      <c r="V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3"/>
      <c r="AY412" s="143"/>
      <c r="AZ412" s="143"/>
      <c r="BA412" s="143"/>
      <c r="BB412" s="143"/>
      <c r="BC412" s="143"/>
    </row>
    <row r="413" spans="1:55" x14ac:dyDescent="0.25">
      <c r="D413"/>
      <c r="O413" s="143"/>
      <c r="P413" s="143"/>
      <c r="Q413" s="143"/>
      <c r="R413" s="143"/>
      <c r="S413" s="143"/>
      <c r="T413" s="143"/>
      <c r="U413" s="143"/>
      <c r="V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3"/>
      <c r="AY413" s="143"/>
      <c r="AZ413" s="143"/>
      <c r="BA413" s="143"/>
      <c r="BB413" s="143"/>
      <c r="BC413" s="143"/>
    </row>
    <row r="414" spans="1:55" x14ac:dyDescent="0.25">
      <c r="D414"/>
      <c r="O414" s="143"/>
      <c r="P414" s="143"/>
      <c r="Q414" s="143"/>
      <c r="R414" s="143"/>
      <c r="S414" s="143"/>
      <c r="T414" s="143"/>
      <c r="U414" s="143"/>
      <c r="V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3"/>
      <c r="AY414" s="143"/>
      <c r="AZ414" s="143"/>
      <c r="BA414" s="143"/>
      <c r="BB414" s="143"/>
      <c r="BC414" s="143"/>
    </row>
    <row r="415" spans="1:55" x14ac:dyDescent="0.25">
      <c r="D415"/>
      <c r="O415" s="143"/>
      <c r="P415" s="143"/>
      <c r="Q415" s="143"/>
      <c r="R415" s="143"/>
      <c r="S415" s="143"/>
      <c r="T415" s="143"/>
      <c r="U415" s="143"/>
      <c r="V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3"/>
      <c r="AY415" s="143"/>
      <c r="AZ415" s="143"/>
      <c r="BA415" s="143"/>
      <c r="BB415" s="143"/>
      <c r="BC415" s="143"/>
    </row>
    <row r="416" spans="1:55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</sheetData>
  <sheetProtection formatCells="0" selectLockedCells="1" sort="0" autoFilter="0" pivotTables="0"/>
  <autoFilter ref="A1:L230" xr:uid="{D46550C4-93A8-4D9B-A0FC-3EB73A1FD53D}">
    <sortState xmlns:xlrd2="http://schemas.microsoft.com/office/spreadsheetml/2017/richdata2" ref="A2:L230">
      <sortCondition ref="A1:A229"/>
    </sortState>
  </autoFilter>
  <mergeCells count="23">
    <mergeCell ref="O53:T55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  <mergeCell ref="Q47:R47"/>
    <mergeCell ref="N51:O51"/>
    <mergeCell ref="N30:O30"/>
    <mergeCell ref="N32:R32"/>
    <mergeCell ref="S32:V32"/>
    <mergeCell ref="N33:P33"/>
    <mergeCell ref="N41:O41"/>
    <mergeCell ref="N42:P42"/>
  </mergeCells>
  <conditionalFormatting sqref="A2:L219 J220:J224 A220:I231 K220:L231 A232:L235">
    <cfRule type="expression" dxfId="77" priority="4">
      <formula>$C2="Website"</formula>
    </cfRule>
    <cfRule type="expression" dxfId="76" priority="5">
      <formula>$C2="CitySightSeeing"</formula>
    </cfRule>
    <cfRule type="expression" dxfId="75" priority="6">
      <formula>$C2="Where To"</formula>
    </cfRule>
  </conditionalFormatting>
  <conditionalFormatting sqref="A2:L219 K220:L231 A232:L235 J220:J224 A220:I231">
    <cfRule type="expression" dxfId="74" priority="3">
      <formula>$C2="Outra"</formula>
    </cfRule>
  </conditionalFormatting>
  <conditionalFormatting sqref="J225:J228">
    <cfRule type="expression" dxfId="73" priority="11">
      <formula>$C226="Outra"</formula>
    </cfRule>
    <cfRule type="expression" dxfId="72" priority="12">
      <formula>$C226="Website"</formula>
    </cfRule>
    <cfRule type="expression" dxfId="71" priority="13">
      <formula>$C226="CitySightSeeing"</formula>
    </cfRule>
    <cfRule type="expression" dxfId="70" priority="14">
      <formula>$C226="Where To"</formula>
    </cfRule>
  </conditionalFormatting>
  <conditionalFormatting sqref="J229:J231">
    <cfRule type="expression" dxfId="69" priority="19">
      <formula>$C232="Outra"</formula>
    </cfRule>
    <cfRule type="expression" dxfId="68" priority="20">
      <formula>$C232="Website"</formula>
    </cfRule>
    <cfRule type="expression" dxfId="67" priority="21">
      <formula>$C232="CitySightSeeing"</formula>
    </cfRule>
    <cfRule type="expression" dxfId="66" priority="22">
      <formula>$C232="Where To"</formula>
    </cfRule>
  </conditionalFormatting>
  <conditionalFormatting sqref="K2:K235">
    <cfRule type="containsText" dxfId="65" priority="1" operator="containsText" text="Não">
      <formula>NOT(ISERROR(SEARCH("Não",K2)))</formula>
    </cfRule>
    <cfRule type="containsText" dxfId="64" priority="2" operator="containsText" text="Sim">
      <formula>NOT(ISERROR(SEARCH("Sim",K2)))</formula>
    </cfRule>
  </conditionalFormatting>
  <dataValidations count="4">
    <dataValidation type="list" allowBlank="1" showInputMessage="1" showErrorMessage="1" sqref="A2:A235 S34:S52 S56" xr:uid="{0BCCD2FC-0151-4307-9B99-1E663E79498B}">
      <formula1>$X$2:$X$32</formula1>
    </dataValidation>
    <dataValidation type="list" allowBlank="1" showInputMessage="1" showErrorMessage="1" sqref="V34:V40 V42:V56 J2:J235" xr:uid="{E2E6394A-826A-43B7-B2A5-4254854E18CA}">
      <formula1>$Y$2:$Y$14</formula1>
    </dataValidation>
    <dataValidation type="list" allowBlank="1" showInputMessage="1" showErrorMessage="1" sqref="K2:L235" xr:uid="{41B7B30B-1C00-43C2-AA24-46653150B775}">
      <formula1>$W$2:$W$3</formula1>
    </dataValidation>
    <dataValidation type="list" allowBlank="1" showInputMessage="1" showErrorMessage="1" sqref="C2:C235" xr:uid="{14655658-E0A8-4C2E-A72C-C81750FB406B}">
      <formula1>$N$2:$N$7</formula1>
    </dataValidation>
  </dataValidations>
  <pageMargins left="0.7" right="0.7" top="0.75" bottom="0.75" header="0.3" footer="0.3"/>
  <pageSetup scale="2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7166-9FCC-4925-B666-AE89E638D728}">
  <sheetPr>
    <pageSetUpPr fitToPage="1"/>
  </sheetPr>
  <dimension ref="A1:BC647"/>
  <sheetViews>
    <sheetView topLeftCell="D1" zoomScale="86" zoomScaleNormal="86" workbookViewId="0">
      <pane ySplit="1" topLeftCell="A2" activePane="bottomLeft" state="frozen"/>
      <selection activeCell="F36" sqref="F36"/>
      <selection pane="bottomLeft" activeCell="U45" sqref="U45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5.5703125" customWidth="1"/>
    <col min="7" max="9" width="9.7109375" customWidth="1"/>
    <col min="10" max="12" width="15.5703125" customWidth="1"/>
    <col min="13" max="13" width="0.85546875" customWidth="1"/>
    <col min="14" max="14" width="21.7109375" customWidth="1"/>
    <col min="15" max="21" width="15.5703125" customWidth="1"/>
    <col min="22" max="22" width="47.85546875" customWidth="1"/>
    <col min="23" max="23" width="0.28515625" hidden="1" customWidth="1"/>
    <col min="24" max="24" width="9.5703125" hidden="1" customWidth="1"/>
    <col min="25" max="25" width="12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206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1</v>
      </c>
      <c r="B2" s="2">
        <v>605</v>
      </c>
      <c r="C2" s="133" t="s">
        <v>13</v>
      </c>
      <c r="D2" s="204">
        <v>1544</v>
      </c>
      <c r="E2" s="16" t="s">
        <v>296</v>
      </c>
      <c r="F2" s="2" t="s">
        <v>76</v>
      </c>
      <c r="G2" s="2">
        <v>1</v>
      </c>
      <c r="H2" s="3">
        <v>25</v>
      </c>
      <c r="I2" s="3">
        <v>8</v>
      </c>
      <c r="J2" s="3" t="s">
        <v>18</v>
      </c>
      <c r="K2" s="4" t="s">
        <v>15</v>
      </c>
      <c r="L2" s="5" t="s">
        <v>15</v>
      </c>
      <c r="M2" s="144"/>
      <c r="N2" s="61" t="s">
        <v>17</v>
      </c>
      <c r="O2" s="62">
        <f>SUMIFS(H2:H231,C2:C231,N2,L2:L231,"Sim")</f>
        <v>948</v>
      </c>
      <c r="P2" s="62">
        <f>O2*0.3</f>
        <v>284.39999999999998</v>
      </c>
      <c r="Q2" s="62">
        <f>SUMIFS(I2:I231,C2:C231,N2,K2:K231,"Sim")</f>
        <v>408.59999999999991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8">
        <v>1</v>
      </c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</row>
    <row r="3" spans="1:55" ht="15" customHeight="1" thickBot="1" x14ac:dyDescent="0.3">
      <c r="A3" s="1">
        <v>1</v>
      </c>
      <c r="B3" s="2">
        <v>308</v>
      </c>
      <c r="C3" s="133" t="s">
        <v>13</v>
      </c>
      <c r="D3" s="204">
        <v>1546</v>
      </c>
      <c r="E3" s="20" t="s">
        <v>159</v>
      </c>
      <c r="F3" s="2" t="s">
        <v>76</v>
      </c>
      <c r="G3" s="2">
        <v>1</v>
      </c>
      <c r="H3" s="3">
        <v>25</v>
      </c>
      <c r="I3" s="3">
        <v>8</v>
      </c>
      <c r="J3" s="3" t="s">
        <v>593</v>
      </c>
      <c r="K3" s="4" t="s">
        <v>15</v>
      </c>
      <c r="L3" s="5" t="s">
        <v>15</v>
      </c>
      <c r="M3" s="144"/>
      <c r="N3" s="67" t="s">
        <v>13</v>
      </c>
      <c r="O3" s="68">
        <f>SUMIFS(H2:H231,C2:C231,N3,L2:L231,"Não")</f>
        <v>50</v>
      </c>
      <c r="P3" s="68">
        <f>SUMIFS(I2:I231,C2:C231,N3,L2:L231,"Não")</f>
        <v>16</v>
      </c>
      <c r="Q3" s="68">
        <f>SUMIFS(I2:I231,C2:C231,N3,K2:K231,"Sim")</f>
        <v>1251</v>
      </c>
      <c r="R3" s="69">
        <f>SUMIFS(H2:H231,C2:C231,N3,K2:K231,"Sim")-Q3-Q5</f>
        <v>2911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x14ac:dyDescent="0.25">
      <c r="A4" s="1">
        <v>1</v>
      </c>
      <c r="B4" s="2" t="s">
        <v>651</v>
      </c>
      <c r="C4" s="133" t="s">
        <v>23</v>
      </c>
      <c r="D4" s="204">
        <v>174496</v>
      </c>
      <c r="E4" s="16" t="s">
        <v>126</v>
      </c>
      <c r="F4" s="2" t="s">
        <v>76</v>
      </c>
      <c r="G4" s="2">
        <v>2</v>
      </c>
      <c r="H4" s="3">
        <v>22</v>
      </c>
      <c r="I4" s="3" t="s">
        <v>34</v>
      </c>
      <c r="J4" s="3" t="s">
        <v>18</v>
      </c>
      <c r="K4" s="4" t="s">
        <v>15</v>
      </c>
      <c r="L4" s="5" t="s">
        <v>16</v>
      </c>
      <c r="M4" s="144"/>
      <c r="N4" s="67" t="s">
        <v>22</v>
      </c>
      <c r="O4" s="68">
        <f>SUMIFS(H2:H231,C2:C231,N4,L2:L231,"Não")</f>
        <v>36</v>
      </c>
      <c r="P4" s="68">
        <f>O4*0.25</f>
        <v>9</v>
      </c>
      <c r="Q4" s="68">
        <f>SUMIFS(I2:I230,C2:C230,N4,K2:K230,"Sim")</f>
        <v>212.25</v>
      </c>
      <c r="R4" s="69">
        <f>O4-P4</f>
        <v>27</v>
      </c>
      <c r="S4" s="70" t="s">
        <v>31</v>
      </c>
      <c r="T4" s="71">
        <v>35</v>
      </c>
      <c r="U4" s="71">
        <v>10</v>
      </c>
      <c r="V4" s="72" t="s">
        <v>32</v>
      </c>
      <c r="W4" s="147"/>
      <c r="X4" s="160">
        <v>3</v>
      </c>
      <c r="Y4" s="160" t="s">
        <v>33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>
        <v>1</v>
      </c>
      <c r="B5" s="2">
        <v>416</v>
      </c>
      <c r="C5" s="133" t="s">
        <v>13</v>
      </c>
      <c r="D5" s="204">
        <v>1547</v>
      </c>
      <c r="E5" s="16" t="s">
        <v>413</v>
      </c>
      <c r="F5" s="2" t="s">
        <v>78</v>
      </c>
      <c r="G5" s="2">
        <v>4</v>
      </c>
      <c r="H5" s="3">
        <v>35</v>
      </c>
      <c r="I5" s="3">
        <v>10</v>
      </c>
      <c r="J5" s="3" t="s">
        <v>18</v>
      </c>
      <c r="K5" s="4" t="s">
        <v>15</v>
      </c>
      <c r="L5" s="5" t="s">
        <v>15</v>
      </c>
      <c r="M5" s="144"/>
      <c r="N5" s="67" t="s">
        <v>20</v>
      </c>
      <c r="O5" s="68">
        <f>SUMIFS(H2:H231,C2:C231,N5,L2:L231,"Não")</f>
        <v>25</v>
      </c>
      <c r="P5" s="68">
        <f>SUMIFS(I2:I231,C2:C231,N5,L2:L231,"Não")</f>
        <v>8</v>
      </c>
      <c r="Q5" s="68">
        <f>SUMIFS(I2:I231,C2:C231,N5,K2:K231,"Sim")</f>
        <v>8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47"/>
      <c r="X5" s="160">
        <v>4</v>
      </c>
      <c r="Y5" s="160" t="s">
        <v>36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>
        <v>1</v>
      </c>
      <c r="B6" s="2" t="s">
        <v>654</v>
      </c>
      <c r="C6" s="133" t="s">
        <v>13</v>
      </c>
      <c r="D6" s="204">
        <v>2128</v>
      </c>
      <c r="E6" s="16" t="s">
        <v>127</v>
      </c>
      <c r="F6" s="2" t="s">
        <v>468</v>
      </c>
      <c r="G6" s="2">
        <v>2</v>
      </c>
      <c r="H6" s="3">
        <v>25</v>
      </c>
      <c r="I6" s="3">
        <v>8</v>
      </c>
      <c r="J6" s="3" t="s">
        <v>18</v>
      </c>
      <c r="K6" s="4" t="s">
        <v>15</v>
      </c>
      <c r="L6" s="5" t="s">
        <v>15</v>
      </c>
      <c r="M6" s="144"/>
      <c r="N6" s="67" t="s">
        <v>23</v>
      </c>
      <c r="O6" s="68">
        <f>SUMIFS(H2:H231,C2:C231,N6,L2:L231,"Não")</f>
        <v>1148</v>
      </c>
      <c r="P6" s="68">
        <f>O6*0.15</f>
        <v>172.2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47"/>
      <c r="X6" s="160">
        <v>5</v>
      </c>
      <c r="Y6" s="160" t="s">
        <v>26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>
        <v>1</v>
      </c>
      <c r="B7" s="2">
        <v>509</v>
      </c>
      <c r="C7" s="133" t="s">
        <v>13</v>
      </c>
      <c r="D7" s="204">
        <v>1550</v>
      </c>
      <c r="E7" s="16" t="s">
        <v>430</v>
      </c>
      <c r="F7" s="2" t="s">
        <v>76</v>
      </c>
      <c r="G7" s="2">
        <v>2</v>
      </c>
      <c r="H7" s="3">
        <v>25</v>
      </c>
      <c r="I7" s="3">
        <v>8</v>
      </c>
      <c r="J7" s="3" t="s">
        <v>27</v>
      </c>
      <c r="K7" s="4" t="s">
        <v>15</v>
      </c>
      <c r="L7" s="5" t="s">
        <v>15</v>
      </c>
      <c r="M7" s="144"/>
      <c r="N7" s="73" t="s">
        <v>24</v>
      </c>
      <c r="O7" s="74">
        <f>SUMIFS(H2:H231,C2:C231,N7,L2:L231,"Não")</f>
        <v>0</v>
      </c>
      <c r="P7" s="74">
        <f>SUMIFS(I2:I231,C2:C231,N7,L2:L231,"Não")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47"/>
      <c r="X7" s="160">
        <v>6</v>
      </c>
      <c r="Y7" s="160" t="s">
        <v>27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>
        <v>1</v>
      </c>
      <c r="B8" s="17" t="s">
        <v>655</v>
      </c>
      <c r="C8" s="133" t="s">
        <v>13</v>
      </c>
      <c r="D8" s="204">
        <v>1508</v>
      </c>
      <c r="E8" s="16" t="s">
        <v>166</v>
      </c>
      <c r="F8" s="2" t="s">
        <v>624</v>
      </c>
      <c r="G8" s="2">
        <v>2</v>
      </c>
      <c r="H8" s="3">
        <v>35</v>
      </c>
      <c r="I8" s="3">
        <v>10</v>
      </c>
      <c r="J8" s="3" t="s">
        <v>27</v>
      </c>
      <c r="K8" s="4" t="s">
        <v>15</v>
      </c>
      <c r="L8" s="5" t="s">
        <v>15</v>
      </c>
      <c r="M8" s="144"/>
      <c r="N8" s="77" t="s">
        <v>25</v>
      </c>
      <c r="O8" s="78">
        <f>SUM(O2:O3)</f>
        <v>998</v>
      </c>
      <c r="P8" s="78">
        <f>SUM(P2:P3)</f>
        <v>300.39999999999998</v>
      </c>
      <c r="Q8" s="79"/>
      <c r="R8" s="80">
        <f>SUM(R3+R4)</f>
        <v>2938</v>
      </c>
      <c r="S8" s="298"/>
      <c r="T8" s="81">
        <v>55</v>
      </c>
      <c r="U8" s="82">
        <v>15</v>
      </c>
      <c r="V8" s="83" t="s">
        <v>21</v>
      </c>
      <c r="W8" s="147"/>
      <c r="X8" s="160">
        <v>7</v>
      </c>
      <c r="Y8" s="160" t="s">
        <v>14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>
        <v>1</v>
      </c>
      <c r="B9" s="2">
        <v>422</v>
      </c>
      <c r="C9" s="133" t="s">
        <v>13</v>
      </c>
      <c r="D9" s="204">
        <v>1538</v>
      </c>
      <c r="E9" s="16" t="s">
        <v>371</v>
      </c>
      <c r="F9" s="2" t="s">
        <v>76</v>
      </c>
      <c r="G9" s="2">
        <v>1</v>
      </c>
      <c r="H9" s="3">
        <v>25</v>
      </c>
      <c r="I9" s="3">
        <v>8</v>
      </c>
      <c r="J9" s="3" t="s">
        <v>592</v>
      </c>
      <c r="K9" s="4" t="s">
        <v>15</v>
      </c>
      <c r="L9" s="5" t="s">
        <v>15</v>
      </c>
      <c r="M9" s="144"/>
      <c r="N9" s="145"/>
      <c r="O9" s="146"/>
      <c r="P9" s="146"/>
      <c r="Q9" s="146"/>
      <c r="R9" s="146"/>
      <c r="S9" s="202" t="s">
        <v>552</v>
      </c>
      <c r="T9" s="200">
        <v>0.3</v>
      </c>
      <c r="U9" s="203" t="s">
        <v>22</v>
      </c>
      <c r="V9" s="201">
        <v>0.25</v>
      </c>
      <c r="W9" s="147"/>
      <c r="X9" s="160">
        <v>8</v>
      </c>
      <c r="Y9" s="160" t="s">
        <v>39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>
        <v>2</v>
      </c>
      <c r="B10" s="2">
        <v>608</v>
      </c>
      <c r="C10" s="133" t="s">
        <v>13</v>
      </c>
      <c r="D10" s="204">
        <v>1545</v>
      </c>
      <c r="E10" s="16" t="s">
        <v>159</v>
      </c>
      <c r="F10" s="2" t="s">
        <v>76</v>
      </c>
      <c r="G10" s="2">
        <v>2</v>
      </c>
      <c r="H10" s="3">
        <v>25</v>
      </c>
      <c r="I10" s="3">
        <v>8</v>
      </c>
      <c r="J10" s="2" t="s">
        <v>27</v>
      </c>
      <c r="K10" s="4" t="s">
        <v>15</v>
      </c>
      <c r="L10" s="5" t="s">
        <v>15</v>
      </c>
      <c r="M10" s="144"/>
      <c r="N10" s="299" t="s">
        <v>67</v>
      </c>
      <c r="O10" s="300"/>
      <c r="P10" s="301"/>
      <c r="Q10" s="273" t="s">
        <v>68</v>
      </c>
      <c r="R10" s="274"/>
      <c r="S10" s="300"/>
      <c r="T10" s="300"/>
      <c r="U10" s="301"/>
      <c r="V10" s="143"/>
      <c r="W10" s="147"/>
      <c r="X10" s="160">
        <v>9</v>
      </c>
      <c r="Y10" s="160" t="s">
        <v>41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x14ac:dyDescent="0.25">
      <c r="A11" s="1">
        <v>2</v>
      </c>
      <c r="B11" s="2">
        <v>507</v>
      </c>
      <c r="C11" s="133" t="s">
        <v>13</v>
      </c>
      <c r="D11" s="204">
        <v>1551</v>
      </c>
      <c r="E11" s="16" t="s">
        <v>371</v>
      </c>
      <c r="F11" s="2" t="s">
        <v>76</v>
      </c>
      <c r="G11" s="2">
        <v>2</v>
      </c>
      <c r="H11" s="3">
        <v>25</v>
      </c>
      <c r="I11" s="3">
        <v>8</v>
      </c>
      <c r="J11" s="3" t="s">
        <v>18</v>
      </c>
      <c r="K11" s="4" t="s">
        <v>15</v>
      </c>
      <c r="L11" s="5" t="s">
        <v>15</v>
      </c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47"/>
      <c r="X11" s="160">
        <v>10</v>
      </c>
      <c r="Y11" s="160" t="s">
        <v>42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>
        <v>2</v>
      </c>
      <c r="B12" s="2">
        <v>416</v>
      </c>
      <c r="C12" s="133" t="s">
        <v>13</v>
      </c>
      <c r="D12" s="204">
        <v>1548</v>
      </c>
      <c r="E12" s="16" t="s">
        <v>652</v>
      </c>
      <c r="F12" s="2" t="s">
        <v>653</v>
      </c>
      <c r="G12" s="2">
        <v>4</v>
      </c>
      <c r="H12" s="3">
        <v>35</v>
      </c>
      <c r="I12" s="3">
        <v>10</v>
      </c>
      <c r="J12" s="3" t="s">
        <v>18</v>
      </c>
      <c r="K12" s="4" t="s">
        <v>15</v>
      </c>
      <c r="L12" s="5" t="s">
        <v>15</v>
      </c>
      <c r="M12" s="144"/>
      <c r="N12" s="192" t="s">
        <v>725</v>
      </c>
      <c r="O12" s="7">
        <v>0</v>
      </c>
      <c r="P12" s="194">
        <v>220.06</v>
      </c>
      <c r="Q12" s="100">
        <v>500</v>
      </c>
      <c r="R12" s="35">
        <v>0</v>
      </c>
      <c r="S12" s="104">
        <f t="shared" ref="S12:S18" si="0">Q12*R12</f>
        <v>0</v>
      </c>
      <c r="T12" s="36" t="s">
        <v>741</v>
      </c>
      <c r="U12" s="37">
        <v>7.99</v>
      </c>
      <c r="V12" s="143"/>
      <c r="W12" s="147"/>
      <c r="X12" s="160">
        <v>11</v>
      </c>
      <c r="Y12" s="160" t="s">
        <v>558</v>
      </c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x14ac:dyDescent="0.25">
      <c r="A13" s="1">
        <v>3</v>
      </c>
      <c r="B13" s="2">
        <v>601</v>
      </c>
      <c r="C13" s="133" t="s">
        <v>13</v>
      </c>
      <c r="D13" s="204">
        <v>1552</v>
      </c>
      <c r="E13" s="16" t="s">
        <v>460</v>
      </c>
      <c r="F13" s="2" t="s">
        <v>76</v>
      </c>
      <c r="G13" s="2">
        <v>2</v>
      </c>
      <c r="H13" s="3">
        <v>25</v>
      </c>
      <c r="I13" s="3">
        <v>8</v>
      </c>
      <c r="J13" s="3" t="s">
        <v>593</v>
      </c>
      <c r="K13" s="4" t="s">
        <v>15</v>
      </c>
      <c r="L13" s="5" t="s">
        <v>15</v>
      </c>
      <c r="M13" s="144"/>
      <c r="N13" s="91">
        <v>200</v>
      </c>
      <c r="O13" s="7">
        <v>0</v>
      </c>
      <c r="P13" s="94">
        <f t="shared" ref="P13:P14" si="1">N13*O13</f>
        <v>0</v>
      </c>
      <c r="Q13" s="91">
        <v>200</v>
      </c>
      <c r="R13" s="7">
        <v>0</v>
      </c>
      <c r="S13" s="103">
        <f t="shared" si="0"/>
        <v>0</v>
      </c>
      <c r="T13" s="28" t="s">
        <v>817</v>
      </c>
      <c r="U13" s="25">
        <v>0.03</v>
      </c>
      <c r="V13" s="143"/>
      <c r="W13" s="147"/>
      <c r="X13" s="160"/>
      <c r="Y13" s="160" t="s">
        <v>750</v>
      </c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>
        <v>3</v>
      </c>
      <c r="B14" s="2">
        <v>208</v>
      </c>
      <c r="C14" s="133" t="s">
        <v>13</v>
      </c>
      <c r="D14" s="204">
        <v>1542</v>
      </c>
      <c r="E14" s="16" t="s">
        <v>99</v>
      </c>
      <c r="F14" s="2" t="s">
        <v>76</v>
      </c>
      <c r="G14" s="2">
        <v>2</v>
      </c>
      <c r="H14" s="3">
        <v>25</v>
      </c>
      <c r="I14" s="3">
        <v>8</v>
      </c>
      <c r="J14" s="3" t="s">
        <v>14</v>
      </c>
      <c r="K14" s="4" t="s">
        <v>15</v>
      </c>
      <c r="L14" s="5" t="s">
        <v>15</v>
      </c>
      <c r="M14" s="144"/>
      <c r="N14" s="91">
        <v>100</v>
      </c>
      <c r="O14" s="7">
        <v>11</v>
      </c>
      <c r="P14" s="94">
        <f t="shared" si="1"/>
        <v>1100</v>
      </c>
      <c r="Q14" s="91">
        <v>100</v>
      </c>
      <c r="R14" s="7">
        <v>0</v>
      </c>
      <c r="S14" s="103">
        <f t="shared" si="0"/>
        <v>0</v>
      </c>
      <c r="T14" s="38"/>
      <c r="U14" s="50"/>
      <c r="V14" s="143"/>
      <c r="W14" s="147"/>
      <c r="X14" s="160">
        <v>12</v>
      </c>
      <c r="Y14" s="160" t="s">
        <v>592</v>
      </c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>
        <v>3</v>
      </c>
      <c r="B15" s="17">
        <v>329</v>
      </c>
      <c r="C15" s="133" t="s">
        <v>13</v>
      </c>
      <c r="D15" s="204">
        <v>1553</v>
      </c>
      <c r="E15" s="16" t="s">
        <v>430</v>
      </c>
      <c r="F15" s="2" t="s">
        <v>76</v>
      </c>
      <c r="G15" s="2">
        <v>2</v>
      </c>
      <c r="H15" s="3">
        <v>25</v>
      </c>
      <c r="I15" s="3">
        <v>8</v>
      </c>
      <c r="J15" s="3" t="s">
        <v>14</v>
      </c>
      <c r="K15" s="4" t="s">
        <v>15</v>
      </c>
      <c r="L15" s="5" t="s">
        <v>15</v>
      </c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 t="shared" si="0"/>
        <v>0</v>
      </c>
      <c r="T15" s="28"/>
      <c r="U15" s="51"/>
      <c r="V15" s="143"/>
      <c r="W15" s="147"/>
      <c r="X15" s="160">
        <v>13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x14ac:dyDescent="0.25">
      <c r="A16" s="1">
        <v>4</v>
      </c>
      <c r="B16" s="2">
        <v>501</v>
      </c>
      <c r="C16" s="133" t="s">
        <v>22</v>
      </c>
      <c r="D16" s="204">
        <v>167038</v>
      </c>
      <c r="E16" s="16" t="s">
        <v>34</v>
      </c>
      <c r="F16" s="2" t="s">
        <v>470</v>
      </c>
      <c r="G16" s="2">
        <v>2</v>
      </c>
      <c r="H16" s="3">
        <v>72</v>
      </c>
      <c r="I16" s="3">
        <v>18</v>
      </c>
      <c r="J16" s="3" t="s">
        <v>14</v>
      </c>
      <c r="K16" s="4" t="s">
        <v>15</v>
      </c>
      <c r="L16" s="5" t="s">
        <v>15</v>
      </c>
      <c r="M16" s="144"/>
      <c r="N16" s="91">
        <v>20</v>
      </c>
      <c r="O16" s="7">
        <v>0</v>
      </c>
      <c r="P16" s="94">
        <f>N16*O16</f>
        <v>0</v>
      </c>
      <c r="Q16" s="91">
        <v>20</v>
      </c>
      <c r="R16" s="7">
        <v>1</v>
      </c>
      <c r="S16" s="103">
        <f t="shared" si="0"/>
        <v>20</v>
      </c>
      <c r="T16" s="28"/>
      <c r="U16" s="51"/>
      <c r="V16" s="143"/>
      <c r="W16" s="147"/>
      <c r="X16" s="160">
        <v>14</v>
      </c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2">
        <v>4</v>
      </c>
      <c r="B17" s="2" t="s">
        <v>657</v>
      </c>
      <c r="C17" s="133" t="s">
        <v>13</v>
      </c>
      <c r="D17" s="204">
        <v>1555</v>
      </c>
      <c r="E17" s="2" t="s">
        <v>242</v>
      </c>
      <c r="F17" s="2" t="s">
        <v>76</v>
      </c>
      <c r="G17" s="2">
        <v>4</v>
      </c>
      <c r="H17" s="3">
        <v>40</v>
      </c>
      <c r="I17" s="3">
        <v>12</v>
      </c>
      <c r="J17" s="3" t="s">
        <v>42</v>
      </c>
      <c r="K17" s="4" t="s">
        <v>15</v>
      </c>
      <c r="L17" s="5" t="s">
        <v>15</v>
      </c>
      <c r="M17" s="144"/>
      <c r="N17" s="91">
        <v>10</v>
      </c>
      <c r="O17" s="7">
        <v>1</v>
      </c>
      <c r="P17" s="94">
        <f t="shared" ref="P17" si="2">N17*O17</f>
        <v>10</v>
      </c>
      <c r="Q17" s="91">
        <v>10</v>
      </c>
      <c r="R17" s="7">
        <v>3</v>
      </c>
      <c r="S17" s="103">
        <f t="shared" si="0"/>
        <v>30</v>
      </c>
      <c r="T17" s="28"/>
      <c r="U17" s="25"/>
      <c r="V17" s="143"/>
      <c r="W17" s="147"/>
      <c r="X17" s="160">
        <v>15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1">
        <v>4</v>
      </c>
      <c r="B18" s="2" t="s">
        <v>321</v>
      </c>
      <c r="C18" s="133" t="s">
        <v>23</v>
      </c>
      <c r="D18" s="204">
        <v>163126</v>
      </c>
      <c r="E18" s="18" t="s">
        <v>659</v>
      </c>
      <c r="F18" s="2" t="s">
        <v>658</v>
      </c>
      <c r="G18" s="2">
        <v>2</v>
      </c>
      <c r="H18" s="3">
        <v>39</v>
      </c>
      <c r="I18" s="3" t="s">
        <v>34</v>
      </c>
      <c r="J18" s="3" t="s">
        <v>181</v>
      </c>
      <c r="K18" s="4" t="s">
        <v>15</v>
      </c>
      <c r="L18" s="5" t="s">
        <v>16</v>
      </c>
      <c r="M18" s="144"/>
      <c r="N18" s="91">
        <v>5</v>
      </c>
      <c r="O18" s="7">
        <v>0</v>
      </c>
      <c r="P18" s="94">
        <f>N18*O18</f>
        <v>0</v>
      </c>
      <c r="Q18" s="91">
        <v>5</v>
      </c>
      <c r="R18" s="7">
        <v>3</v>
      </c>
      <c r="S18" s="103">
        <f t="shared" si="0"/>
        <v>15</v>
      </c>
      <c r="T18" s="28"/>
      <c r="U18" s="25"/>
      <c r="V18" s="143"/>
      <c r="W18" s="147"/>
      <c r="X18" s="160">
        <v>16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>
        <v>4</v>
      </c>
      <c r="B19" s="2" t="s">
        <v>500</v>
      </c>
      <c r="C19" s="133" t="s">
        <v>23</v>
      </c>
      <c r="D19" s="204">
        <v>174103</v>
      </c>
      <c r="E19" s="16" t="s">
        <v>488</v>
      </c>
      <c r="F19" s="2" t="s">
        <v>499</v>
      </c>
      <c r="G19" s="2">
        <v>2</v>
      </c>
      <c r="H19" s="3">
        <v>39</v>
      </c>
      <c r="I19" s="3" t="s">
        <v>34</v>
      </c>
      <c r="J19" s="3" t="s">
        <v>42</v>
      </c>
      <c r="K19" s="4" t="s">
        <v>15</v>
      </c>
      <c r="L19" s="5" t="s">
        <v>16</v>
      </c>
      <c r="M19" s="144"/>
      <c r="N19" s="308"/>
      <c r="O19" s="309"/>
      <c r="P19" s="99">
        <f>SUM(P12:P18)</f>
        <v>2880.06</v>
      </c>
      <c r="Q19" s="310"/>
      <c r="R19" s="311"/>
      <c r="S19" s="107">
        <f>SUM(S12:S18)</f>
        <v>65</v>
      </c>
      <c r="T19" s="28"/>
      <c r="U19" s="25"/>
      <c r="V19" s="143"/>
      <c r="W19" s="147"/>
      <c r="X19" s="160">
        <v>17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>
        <v>4</v>
      </c>
      <c r="B20" s="2" t="s">
        <v>461</v>
      </c>
      <c r="C20" s="133" t="s">
        <v>23</v>
      </c>
      <c r="D20" s="204">
        <v>174077</v>
      </c>
      <c r="E20" s="16" t="s">
        <v>662</v>
      </c>
      <c r="F20" s="2" t="s">
        <v>76</v>
      </c>
      <c r="G20" s="2">
        <v>2</v>
      </c>
      <c r="H20" s="3">
        <v>22</v>
      </c>
      <c r="I20" s="3" t="s">
        <v>34</v>
      </c>
      <c r="J20" s="3" t="s">
        <v>26</v>
      </c>
      <c r="K20" s="4" t="s">
        <v>15</v>
      </c>
      <c r="L20" s="5" t="s">
        <v>16</v>
      </c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18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>
        <v>5</v>
      </c>
      <c r="B21" s="2">
        <v>402</v>
      </c>
      <c r="C21" s="133" t="s">
        <v>13</v>
      </c>
      <c r="D21" s="204">
        <v>1557</v>
      </c>
      <c r="E21" s="2" t="s">
        <v>605</v>
      </c>
      <c r="F21" s="2" t="s">
        <v>76</v>
      </c>
      <c r="G21" s="2">
        <v>2</v>
      </c>
      <c r="H21" s="3">
        <v>25</v>
      </c>
      <c r="I21" s="3">
        <v>8</v>
      </c>
      <c r="J21" s="3" t="s">
        <v>39</v>
      </c>
      <c r="K21" s="2" t="s">
        <v>15</v>
      </c>
      <c r="L21" s="5" t="s">
        <v>15</v>
      </c>
      <c r="M21" s="144"/>
      <c r="N21" s="100">
        <v>2</v>
      </c>
      <c r="O21" s="35">
        <v>0</v>
      </c>
      <c r="P21" s="96">
        <f t="shared" ref="P21:P28" si="3">N21*O21</f>
        <v>0</v>
      </c>
      <c r="Q21" s="100">
        <v>2</v>
      </c>
      <c r="R21" s="35">
        <v>2</v>
      </c>
      <c r="S21" s="102">
        <f>Q21*R21</f>
        <v>4</v>
      </c>
      <c r="T21" s="28"/>
      <c r="U21" s="25"/>
      <c r="V21" s="143"/>
      <c r="W21" s="147"/>
      <c r="X21" s="160">
        <v>19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>
        <v>5</v>
      </c>
      <c r="B22" s="2">
        <v>519</v>
      </c>
      <c r="C22" s="133" t="s">
        <v>13</v>
      </c>
      <c r="D22" s="204">
        <v>1556</v>
      </c>
      <c r="E22" s="16" t="s">
        <v>400</v>
      </c>
      <c r="F22" s="2" t="s">
        <v>76</v>
      </c>
      <c r="G22" s="2">
        <v>2</v>
      </c>
      <c r="H22" s="3">
        <v>25</v>
      </c>
      <c r="I22" s="3">
        <v>8</v>
      </c>
      <c r="J22" s="3" t="s">
        <v>39</v>
      </c>
      <c r="K22" s="4" t="s">
        <v>15</v>
      </c>
      <c r="L22" s="5" t="s">
        <v>15</v>
      </c>
      <c r="M22" s="144"/>
      <c r="N22" s="91">
        <v>1</v>
      </c>
      <c r="O22" s="7">
        <v>4</v>
      </c>
      <c r="P22" s="94">
        <f t="shared" si="3"/>
        <v>4</v>
      </c>
      <c r="Q22" s="91">
        <v>1</v>
      </c>
      <c r="R22" s="7">
        <v>13</v>
      </c>
      <c r="S22" s="103">
        <f t="shared" ref="S22:S28" si="4">Q22*R22</f>
        <v>13</v>
      </c>
      <c r="T22" s="28"/>
      <c r="U22" s="25"/>
      <c r="V22" s="143"/>
      <c r="W22" s="147"/>
      <c r="X22" s="160">
        <v>20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>
        <v>5</v>
      </c>
      <c r="B23" s="2" t="s">
        <v>650</v>
      </c>
      <c r="C23" s="133" t="s">
        <v>23</v>
      </c>
      <c r="D23" s="204">
        <v>168590</v>
      </c>
      <c r="E23" s="16" t="s">
        <v>192</v>
      </c>
      <c r="F23" s="2" t="s">
        <v>76</v>
      </c>
      <c r="G23" s="2">
        <v>2</v>
      </c>
      <c r="H23" s="3">
        <v>22</v>
      </c>
      <c r="I23" s="3" t="s">
        <v>34</v>
      </c>
      <c r="J23" s="3" t="s">
        <v>132</v>
      </c>
      <c r="K23" s="4" t="s">
        <v>15</v>
      </c>
      <c r="L23" s="5" t="s">
        <v>16</v>
      </c>
      <c r="M23" s="144"/>
      <c r="N23" s="91">
        <v>0.5</v>
      </c>
      <c r="O23" s="7">
        <v>5</v>
      </c>
      <c r="P23" s="94">
        <f t="shared" si="3"/>
        <v>2.5</v>
      </c>
      <c r="Q23" s="91">
        <v>0.5</v>
      </c>
      <c r="R23" s="7">
        <v>32</v>
      </c>
      <c r="S23" s="103">
        <f t="shared" si="4"/>
        <v>16</v>
      </c>
      <c r="T23" s="28"/>
      <c r="U23" s="25"/>
      <c r="V23" s="143"/>
      <c r="W23" s="143"/>
      <c r="X23" s="160">
        <v>21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>
        <v>5</v>
      </c>
      <c r="B24" s="2" t="s">
        <v>667</v>
      </c>
      <c r="C24" s="133" t="s">
        <v>13</v>
      </c>
      <c r="D24" s="230">
        <v>167221</v>
      </c>
      <c r="E24" s="18" t="s">
        <v>126</v>
      </c>
      <c r="F24" s="2" t="s">
        <v>76</v>
      </c>
      <c r="G24" s="2">
        <v>5</v>
      </c>
      <c r="H24" s="3">
        <v>55</v>
      </c>
      <c r="I24" s="3">
        <v>15</v>
      </c>
      <c r="J24" s="3" t="s">
        <v>593</v>
      </c>
      <c r="K24" s="4" t="s">
        <v>15</v>
      </c>
      <c r="L24" s="5" t="s">
        <v>15</v>
      </c>
      <c r="M24" s="144"/>
      <c r="N24" s="91">
        <v>0.2</v>
      </c>
      <c r="O24" s="7">
        <v>2</v>
      </c>
      <c r="P24" s="94">
        <f t="shared" si="3"/>
        <v>0.4</v>
      </c>
      <c r="Q24" s="91">
        <v>0.2</v>
      </c>
      <c r="R24" s="7">
        <v>4</v>
      </c>
      <c r="S24" s="103">
        <f t="shared" si="4"/>
        <v>0.8</v>
      </c>
      <c r="T24" s="33"/>
      <c r="U24" s="34"/>
      <c r="V24" s="143"/>
      <c r="W24" s="143"/>
      <c r="X24" s="160">
        <v>22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>
        <v>5</v>
      </c>
      <c r="B25" s="2" t="s">
        <v>323</v>
      </c>
      <c r="C25" s="133" t="s">
        <v>23</v>
      </c>
      <c r="D25" s="204">
        <v>166087</v>
      </c>
      <c r="E25" s="16" t="s">
        <v>216</v>
      </c>
      <c r="F25" s="2" t="s">
        <v>324</v>
      </c>
      <c r="G25" s="2">
        <v>2</v>
      </c>
      <c r="H25" s="3">
        <v>39</v>
      </c>
      <c r="I25" s="3" t="s">
        <v>34</v>
      </c>
      <c r="J25" s="3" t="s">
        <v>33</v>
      </c>
      <c r="K25" s="4" t="s">
        <v>15</v>
      </c>
      <c r="L25" s="5" t="s">
        <v>16</v>
      </c>
      <c r="M25" s="144"/>
      <c r="N25" s="91">
        <v>0.1</v>
      </c>
      <c r="O25" s="7">
        <v>0</v>
      </c>
      <c r="P25" s="94">
        <f t="shared" si="3"/>
        <v>0</v>
      </c>
      <c r="Q25" s="91">
        <v>0.1</v>
      </c>
      <c r="R25" s="7">
        <v>0</v>
      </c>
      <c r="S25" s="96">
        <f t="shared" si="4"/>
        <v>0</v>
      </c>
      <c r="T25" s="109" t="s">
        <v>63</v>
      </c>
      <c r="U25" s="110">
        <f>SUM(U12:U24)</f>
        <v>8.02</v>
      </c>
      <c r="V25" s="143"/>
      <c r="W25" s="143"/>
      <c r="X25" s="160">
        <v>23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>
        <v>5</v>
      </c>
      <c r="B26" s="2" t="s">
        <v>325</v>
      </c>
      <c r="C26" s="133" t="s">
        <v>23</v>
      </c>
      <c r="D26" s="204">
        <v>166880</v>
      </c>
      <c r="E26" s="18" t="s">
        <v>216</v>
      </c>
      <c r="F26" s="2" t="s">
        <v>326</v>
      </c>
      <c r="G26" s="2">
        <v>2</v>
      </c>
      <c r="H26" s="3">
        <v>39</v>
      </c>
      <c r="I26" s="3" t="s">
        <v>34</v>
      </c>
      <c r="J26" s="3" t="s">
        <v>327</v>
      </c>
      <c r="K26" s="4" t="s">
        <v>15</v>
      </c>
      <c r="L26" s="5" t="s">
        <v>16</v>
      </c>
      <c r="M26" s="144"/>
      <c r="N26" s="91">
        <v>0.05</v>
      </c>
      <c r="O26" s="7">
        <v>0</v>
      </c>
      <c r="P26" s="94">
        <f t="shared" si="3"/>
        <v>0</v>
      </c>
      <c r="Q26" s="91">
        <v>0.05</v>
      </c>
      <c r="R26" s="7">
        <v>3</v>
      </c>
      <c r="S26" s="94">
        <f t="shared" si="4"/>
        <v>0.15000000000000002</v>
      </c>
      <c r="T26" s="111" t="s">
        <v>64</v>
      </c>
      <c r="U26" s="108">
        <v>103.72</v>
      </c>
      <c r="V26" s="143"/>
      <c r="W26" s="143"/>
      <c r="X26" s="160">
        <v>24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>
        <v>5</v>
      </c>
      <c r="B27" s="17" t="s">
        <v>586</v>
      </c>
      <c r="C27" s="133" t="s">
        <v>23</v>
      </c>
      <c r="D27" s="204">
        <v>174668</v>
      </c>
      <c r="E27" s="16" t="s">
        <v>621</v>
      </c>
      <c r="F27" s="2" t="s">
        <v>622</v>
      </c>
      <c r="G27" s="2">
        <v>2</v>
      </c>
      <c r="H27" s="3">
        <v>39</v>
      </c>
      <c r="I27" s="3" t="s">
        <v>34</v>
      </c>
      <c r="J27" s="3" t="s">
        <v>27</v>
      </c>
      <c r="K27" s="4" t="s">
        <v>15</v>
      </c>
      <c r="L27" s="5" t="s">
        <v>16</v>
      </c>
      <c r="M27" s="144"/>
      <c r="N27" s="91">
        <v>0.02</v>
      </c>
      <c r="O27" s="7">
        <v>0</v>
      </c>
      <c r="P27" s="94">
        <f t="shared" si="3"/>
        <v>0</v>
      </c>
      <c r="Q27" s="91">
        <v>0.02</v>
      </c>
      <c r="R27" s="7">
        <v>0</v>
      </c>
      <c r="S27" s="94">
        <f t="shared" si="4"/>
        <v>0</v>
      </c>
      <c r="T27" s="315" t="s">
        <v>65</v>
      </c>
      <c r="U27" s="317"/>
      <c r="V27" s="143"/>
      <c r="W27" s="143"/>
      <c r="X27" s="160">
        <v>25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>
        <v>6</v>
      </c>
      <c r="B28" s="2">
        <v>324</v>
      </c>
      <c r="C28" s="133" t="s">
        <v>13</v>
      </c>
      <c r="D28" s="204">
        <v>1564</v>
      </c>
      <c r="E28" s="16" t="s">
        <v>228</v>
      </c>
      <c r="F28" s="2" t="s">
        <v>76</v>
      </c>
      <c r="G28" s="2">
        <v>2</v>
      </c>
      <c r="H28" s="3">
        <v>25</v>
      </c>
      <c r="I28" s="3">
        <v>8</v>
      </c>
      <c r="J28" s="3" t="s">
        <v>39</v>
      </c>
      <c r="K28" s="4" t="s">
        <v>15</v>
      </c>
      <c r="L28" s="5" t="s">
        <v>15</v>
      </c>
      <c r="M28" s="144"/>
      <c r="N28" s="91">
        <v>0.01</v>
      </c>
      <c r="O28" s="7">
        <v>4</v>
      </c>
      <c r="P28" s="94">
        <f t="shared" si="3"/>
        <v>0.04</v>
      </c>
      <c r="Q28" s="92">
        <v>0.01</v>
      </c>
      <c r="R28" s="26">
        <v>0</v>
      </c>
      <c r="S28" s="95">
        <f t="shared" si="4"/>
        <v>0</v>
      </c>
      <c r="T28" s="286">
        <f>S19+S29+U25-U26</f>
        <v>3.2499999999999858</v>
      </c>
      <c r="U28" s="287"/>
      <c r="V28" s="143"/>
      <c r="W28" s="143"/>
      <c r="X28" s="160">
        <v>26</v>
      </c>
      <c r="Y28" s="147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>
        <v>6</v>
      </c>
      <c r="B29" s="2">
        <v>501</v>
      </c>
      <c r="C29" s="133" t="s">
        <v>13</v>
      </c>
      <c r="D29" s="204">
        <v>1563</v>
      </c>
      <c r="E29" s="18" t="s">
        <v>535</v>
      </c>
      <c r="F29" s="2" t="s">
        <v>468</v>
      </c>
      <c r="G29" s="2">
        <v>2</v>
      </c>
      <c r="H29" s="3">
        <v>25</v>
      </c>
      <c r="I29" s="3">
        <v>8</v>
      </c>
      <c r="J29" s="3" t="s">
        <v>36</v>
      </c>
      <c r="K29" s="4" t="s">
        <v>15</v>
      </c>
      <c r="L29" s="5" t="s">
        <v>15</v>
      </c>
      <c r="M29" s="144"/>
      <c r="N29" s="290"/>
      <c r="O29" s="291"/>
      <c r="P29" s="101">
        <f>SUM(P21:P28)</f>
        <v>6.94</v>
      </c>
      <c r="Q29" s="292"/>
      <c r="R29" s="293"/>
      <c r="S29" s="108">
        <f>SUM(S21:S28)</f>
        <v>33.949999999999996</v>
      </c>
      <c r="T29" s="288"/>
      <c r="U29" s="289"/>
      <c r="V29" s="143"/>
      <c r="W29" s="143"/>
      <c r="X29" s="160">
        <v>27</v>
      </c>
      <c r="Y29" s="147"/>
      <c r="Z29" s="143"/>
      <c r="AA29" s="143"/>
      <c r="AB29" s="143" t="s">
        <v>34</v>
      </c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>
        <v>6</v>
      </c>
      <c r="B30" s="2" t="s">
        <v>329</v>
      </c>
      <c r="C30" s="133" t="s">
        <v>23</v>
      </c>
      <c r="D30" s="204">
        <v>171383</v>
      </c>
      <c r="E30" s="16" t="s">
        <v>96</v>
      </c>
      <c r="F30" s="2" t="s">
        <v>320</v>
      </c>
      <c r="G30" s="2">
        <v>2</v>
      </c>
      <c r="H30" s="3">
        <v>39</v>
      </c>
      <c r="I30" s="3" t="s">
        <v>34</v>
      </c>
      <c r="J30" s="3" t="s">
        <v>14</v>
      </c>
      <c r="K30" s="4" t="s">
        <v>15</v>
      </c>
      <c r="L30" s="5" t="s">
        <v>16</v>
      </c>
      <c r="M30" s="144"/>
      <c r="N30" s="271" t="s">
        <v>25</v>
      </c>
      <c r="O30" s="272"/>
      <c r="P30" s="112">
        <f>SUM(P19+P29-R8)</f>
        <v>-51</v>
      </c>
      <c r="Q30" s="163"/>
      <c r="R30" s="164"/>
      <c r="S30" s="164"/>
      <c r="T30" s="148"/>
      <c r="U30" s="148"/>
      <c r="V30" s="143"/>
      <c r="W30" s="143"/>
      <c r="X30" s="160">
        <v>28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>
        <v>6</v>
      </c>
      <c r="B31" s="2" t="s">
        <v>656</v>
      </c>
      <c r="C31" s="133" t="s">
        <v>17</v>
      </c>
      <c r="D31" s="204">
        <v>3258</v>
      </c>
      <c r="E31" s="16" t="s">
        <v>96</v>
      </c>
      <c r="F31" s="2" t="s">
        <v>665</v>
      </c>
      <c r="G31" s="2">
        <v>1</v>
      </c>
      <c r="H31" s="3">
        <v>70</v>
      </c>
      <c r="I31" s="3">
        <v>21</v>
      </c>
      <c r="J31" s="3" t="s">
        <v>27</v>
      </c>
      <c r="K31" s="4" t="s">
        <v>15</v>
      </c>
      <c r="L31" s="5" t="s">
        <v>15</v>
      </c>
      <c r="M31" s="144"/>
      <c r="N31" s="149"/>
      <c r="O31" s="150"/>
      <c r="P31" s="150"/>
      <c r="Q31" s="150"/>
      <c r="R31" s="150"/>
      <c r="S31" s="150"/>
      <c r="T31" s="150"/>
      <c r="U31" s="150"/>
      <c r="V31" s="148"/>
      <c r="W31" s="143"/>
      <c r="X31" s="160">
        <v>29</v>
      </c>
      <c r="Y31" s="147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>
        <v>6</v>
      </c>
      <c r="B32" s="2">
        <v>205</v>
      </c>
      <c r="C32" s="133" t="s">
        <v>17</v>
      </c>
      <c r="D32" s="204">
        <v>3263</v>
      </c>
      <c r="E32" s="16" t="s">
        <v>96</v>
      </c>
      <c r="F32" s="2" t="s">
        <v>97</v>
      </c>
      <c r="G32" s="2">
        <v>1</v>
      </c>
      <c r="H32" s="3">
        <v>69</v>
      </c>
      <c r="I32" s="3">
        <v>20.7</v>
      </c>
      <c r="J32" s="3" t="s">
        <v>26</v>
      </c>
      <c r="K32" s="4" t="s">
        <v>15</v>
      </c>
      <c r="L32" s="5" t="s">
        <v>15</v>
      </c>
      <c r="M32" s="144"/>
      <c r="N32" s="273" t="s">
        <v>66</v>
      </c>
      <c r="O32" s="274"/>
      <c r="P32" s="274"/>
      <c r="Q32" s="274"/>
      <c r="R32" s="275"/>
      <c r="S32" s="227" t="s">
        <v>73</v>
      </c>
      <c r="T32" s="228"/>
      <c r="U32" s="228"/>
      <c r="V32" s="229"/>
      <c r="W32" s="143"/>
      <c r="X32" s="160">
        <v>30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>
        <v>6</v>
      </c>
      <c r="B33" s="2">
        <v>227</v>
      </c>
      <c r="C33" s="133" t="s">
        <v>13</v>
      </c>
      <c r="D33" s="204">
        <v>1562</v>
      </c>
      <c r="E33" s="16" t="s">
        <v>107</v>
      </c>
      <c r="F33" s="2" t="s">
        <v>468</v>
      </c>
      <c r="G33" s="2">
        <v>2</v>
      </c>
      <c r="H33" s="3">
        <v>25</v>
      </c>
      <c r="I33" s="3">
        <v>8</v>
      </c>
      <c r="J33" s="3" t="s">
        <v>39</v>
      </c>
      <c r="K33" s="4" t="s">
        <v>15</v>
      </c>
      <c r="L33" s="5" t="s">
        <v>15</v>
      </c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232" t="s">
        <v>0</v>
      </c>
      <c r="T33" s="233" t="s">
        <v>58</v>
      </c>
      <c r="U33" s="234" t="s">
        <v>4</v>
      </c>
      <c r="V33" s="235" t="s">
        <v>6</v>
      </c>
      <c r="W33" s="143"/>
      <c r="X33" s="162">
        <v>31</v>
      </c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>
        <v>6</v>
      </c>
      <c r="B34" s="2">
        <v>505</v>
      </c>
      <c r="C34" s="133" t="s">
        <v>13</v>
      </c>
      <c r="D34" s="204">
        <v>1560</v>
      </c>
      <c r="E34" s="18" t="s">
        <v>115</v>
      </c>
      <c r="F34" s="2" t="s">
        <v>664</v>
      </c>
      <c r="G34" s="2">
        <v>2</v>
      </c>
      <c r="H34" s="3">
        <v>30</v>
      </c>
      <c r="I34" s="3">
        <v>10</v>
      </c>
      <c r="J34" s="3" t="s">
        <v>14</v>
      </c>
      <c r="K34" s="4" t="s">
        <v>15</v>
      </c>
      <c r="L34" s="5" t="s">
        <v>15</v>
      </c>
      <c r="M34" s="144"/>
      <c r="N34" s="100">
        <v>500</v>
      </c>
      <c r="O34" s="35">
        <v>0</v>
      </c>
      <c r="P34" s="96">
        <f t="shared" ref="P34" si="5">N34*O34</f>
        <v>0</v>
      </c>
      <c r="Q34" s="28" t="s">
        <v>818</v>
      </c>
      <c r="R34" s="185">
        <v>0.03</v>
      </c>
      <c r="S34" s="84"/>
      <c r="T34" s="85" t="s">
        <v>17</v>
      </c>
      <c r="U34" s="86">
        <f>Q2-180.9</f>
        <v>227.6999999999999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>
        <v>6</v>
      </c>
      <c r="B35" s="2" t="s">
        <v>328</v>
      </c>
      <c r="C35" s="133" t="s">
        <v>23</v>
      </c>
      <c r="D35" s="204">
        <v>164960</v>
      </c>
      <c r="E35" s="16" t="s">
        <v>281</v>
      </c>
      <c r="F35" s="2" t="s">
        <v>282</v>
      </c>
      <c r="G35" s="2">
        <v>2</v>
      </c>
      <c r="H35" s="3">
        <v>39</v>
      </c>
      <c r="I35" s="8" t="s">
        <v>34</v>
      </c>
      <c r="J35" s="3" t="s">
        <v>132</v>
      </c>
      <c r="K35" s="4" t="s">
        <v>15</v>
      </c>
      <c r="L35" s="5" t="s">
        <v>16</v>
      </c>
      <c r="M35" s="144"/>
      <c r="N35" s="91">
        <v>200</v>
      </c>
      <c r="O35" s="7">
        <v>0</v>
      </c>
      <c r="P35" s="94">
        <f>N35*O35</f>
        <v>0</v>
      </c>
      <c r="Q35" s="198"/>
      <c r="R35" s="199"/>
      <c r="S35" s="87"/>
      <c r="T35" s="88" t="s">
        <v>13</v>
      </c>
      <c r="U35" s="89">
        <f>Q3-326</f>
        <v>925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>
        <v>7</v>
      </c>
      <c r="B36" s="2" t="s">
        <v>330</v>
      </c>
      <c r="C36" s="133" t="s">
        <v>23</v>
      </c>
      <c r="D36" s="205">
        <v>165426</v>
      </c>
      <c r="E36" s="257" t="s">
        <v>331</v>
      </c>
      <c r="F36" s="2" t="s">
        <v>332</v>
      </c>
      <c r="G36" s="2">
        <v>3</v>
      </c>
      <c r="H36" s="3">
        <v>39</v>
      </c>
      <c r="I36" s="8" t="s">
        <v>34</v>
      </c>
      <c r="J36" s="3" t="s">
        <v>18</v>
      </c>
      <c r="K36" s="4" t="s">
        <v>15</v>
      </c>
      <c r="L36" s="5" t="s">
        <v>16</v>
      </c>
      <c r="M36" s="144"/>
      <c r="N36" s="91">
        <v>100</v>
      </c>
      <c r="O36" s="7">
        <v>3</v>
      </c>
      <c r="P36" s="94">
        <f>N36*O36</f>
        <v>300</v>
      </c>
      <c r="Q36" s="28"/>
      <c r="R36" s="185"/>
      <c r="S36" s="87"/>
      <c r="T36" s="88" t="s">
        <v>22</v>
      </c>
      <c r="U36" s="89">
        <f>Q4-72</f>
        <v>140.25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>
        <v>7</v>
      </c>
      <c r="B37" s="2">
        <v>529</v>
      </c>
      <c r="C37" s="133" t="s">
        <v>13</v>
      </c>
      <c r="D37" s="204">
        <v>1567</v>
      </c>
      <c r="E37" s="2" t="s">
        <v>107</v>
      </c>
      <c r="F37" s="2" t="s">
        <v>76</v>
      </c>
      <c r="G37" s="2">
        <v>2</v>
      </c>
      <c r="H37" s="3">
        <v>25</v>
      </c>
      <c r="I37" s="3">
        <v>8</v>
      </c>
      <c r="J37" s="3" t="s">
        <v>18</v>
      </c>
      <c r="K37" s="4" t="s">
        <v>15</v>
      </c>
      <c r="L37" s="5" t="s">
        <v>15</v>
      </c>
      <c r="M37" s="144"/>
      <c r="N37" s="91">
        <v>50</v>
      </c>
      <c r="O37" s="7">
        <v>10</v>
      </c>
      <c r="P37" s="94">
        <f>N37*O37</f>
        <v>500</v>
      </c>
      <c r="Q37" s="30"/>
      <c r="R37" s="185"/>
      <c r="S37" s="139">
        <v>10</v>
      </c>
      <c r="T37" s="140" t="s">
        <v>72</v>
      </c>
      <c r="U37" s="141">
        <v>73.010000000000005</v>
      </c>
      <c r="V37" s="213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>
        <v>7</v>
      </c>
      <c r="B38" s="2">
        <v>214</v>
      </c>
      <c r="C38" s="133" t="s">
        <v>13</v>
      </c>
      <c r="D38" s="204">
        <v>1568</v>
      </c>
      <c r="E38" s="18" t="s">
        <v>376</v>
      </c>
      <c r="F38" s="2" t="s">
        <v>76</v>
      </c>
      <c r="G38" s="2">
        <v>2</v>
      </c>
      <c r="H38" s="3">
        <v>25</v>
      </c>
      <c r="I38" s="8">
        <v>8</v>
      </c>
      <c r="J38" s="3" t="s">
        <v>27</v>
      </c>
      <c r="K38" s="4" t="s">
        <v>15</v>
      </c>
      <c r="L38" s="5" t="s">
        <v>15</v>
      </c>
      <c r="M38" s="144"/>
      <c r="N38" s="91">
        <v>20</v>
      </c>
      <c r="O38" s="7">
        <v>3</v>
      </c>
      <c r="P38" s="94">
        <f>N38*O38</f>
        <v>60</v>
      </c>
      <c r="Q38" s="28"/>
      <c r="R38" s="185"/>
      <c r="S38" s="40">
        <v>10</v>
      </c>
      <c r="T38" s="41" t="s">
        <v>597</v>
      </c>
      <c r="U38" s="42">
        <v>41.43</v>
      </c>
      <c r="V38" s="45" t="s">
        <v>14</v>
      </c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>
        <v>7</v>
      </c>
      <c r="B39" s="2" t="s">
        <v>623</v>
      </c>
      <c r="C39" s="133" t="s">
        <v>13</v>
      </c>
      <c r="D39" s="204">
        <v>1509</v>
      </c>
      <c r="E39" s="16" t="s">
        <v>109</v>
      </c>
      <c r="F39" s="2" t="s">
        <v>76</v>
      </c>
      <c r="G39" s="2">
        <v>2</v>
      </c>
      <c r="H39" s="3">
        <v>25</v>
      </c>
      <c r="I39" s="3">
        <v>8</v>
      </c>
      <c r="J39" s="3" t="s">
        <v>27</v>
      </c>
      <c r="K39" s="4" t="s">
        <v>15</v>
      </c>
      <c r="L39" s="5" t="s">
        <v>15</v>
      </c>
      <c r="M39" s="144"/>
      <c r="N39" s="91">
        <v>10</v>
      </c>
      <c r="O39" s="7">
        <v>3</v>
      </c>
      <c r="P39" s="94">
        <f>N39*O39</f>
        <v>30</v>
      </c>
      <c r="Q39" s="28"/>
      <c r="R39" s="185"/>
      <c r="S39" s="40">
        <v>11</v>
      </c>
      <c r="T39" s="41" t="s">
        <v>684</v>
      </c>
      <c r="U39" s="42">
        <v>28.5</v>
      </c>
      <c r="V39" s="45" t="s">
        <v>39</v>
      </c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>
        <v>7</v>
      </c>
      <c r="B40" s="2" t="s">
        <v>673</v>
      </c>
      <c r="C40" s="133" t="s">
        <v>23</v>
      </c>
      <c r="D40" s="204">
        <v>174935</v>
      </c>
      <c r="E40" s="16" t="s">
        <v>389</v>
      </c>
      <c r="F40" s="2" t="s">
        <v>669</v>
      </c>
      <c r="G40" s="2">
        <v>2</v>
      </c>
      <c r="H40" s="3">
        <v>39</v>
      </c>
      <c r="I40" s="3" t="s">
        <v>34</v>
      </c>
      <c r="J40" s="3" t="s">
        <v>42</v>
      </c>
      <c r="K40" s="4" t="s">
        <v>15</v>
      </c>
      <c r="L40" s="5" t="s">
        <v>16</v>
      </c>
      <c r="M40" s="144"/>
      <c r="N40" s="124">
        <v>5</v>
      </c>
      <c r="O40" s="27">
        <v>10</v>
      </c>
      <c r="P40" s="97">
        <f t="shared" ref="P40" si="6">N40*O40</f>
        <v>50</v>
      </c>
      <c r="Q40" s="28"/>
      <c r="R40" s="185"/>
      <c r="S40" s="40">
        <v>14</v>
      </c>
      <c r="T40" s="41" t="s">
        <v>20</v>
      </c>
      <c r="U40" s="44">
        <v>8</v>
      </c>
      <c r="V40" s="45" t="s">
        <v>18</v>
      </c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>
        <v>7</v>
      </c>
      <c r="B41" s="2">
        <v>312</v>
      </c>
      <c r="C41" s="133" t="s">
        <v>13</v>
      </c>
      <c r="D41" s="204">
        <v>173850</v>
      </c>
      <c r="E41" s="18" t="s">
        <v>675</v>
      </c>
      <c r="F41" s="2" t="s">
        <v>76</v>
      </c>
      <c r="G41" s="2">
        <v>2</v>
      </c>
      <c r="H41" s="3">
        <v>25</v>
      </c>
      <c r="I41" s="8">
        <v>8</v>
      </c>
      <c r="J41" s="3" t="s">
        <v>593</v>
      </c>
      <c r="K41" s="4" t="s">
        <v>15</v>
      </c>
      <c r="L41" s="5" t="s">
        <v>15</v>
      </c>
      <c r="M41" s="144"/>
      <c r="N41" s="279"/>
      <c r="O41" s="280"/>
      <c r="P41" s="119">
        <f>SUM(P34:P40)</f>
        <v>940</v>
      </c>
      <c r="Q41" s="28"/>
      <c r="R41" s="185"/>
      <c r="S41" s="40">
        <v>14</v>
      </c>
      <c r="T41" s="41" t="s">
        <v>11</v>
      </c>
      <c r="U41" s="44">
        <v>-51</v>
      </c>
      <c r="V41" s="45" t="s">
        <v>18</v>
      </c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>
        <v>7</v>
      </c>
      <c r="B42" s="2" t="s">
        <v>687</v>
      </c>
      <c r="C42" s="133" t="s">
        <v>13</v>
      </c>
      <c r="D42" s="204">
        <v>171902</v>
      </c>
      <c r="E42" s="16" t="s">
        <v>99</v>
      </c>
      <c r="F42" s="2" t="s">
        <v>103</v>
      </c>
      <c r="G42" s="2">
        <v>2</v>
      </c>
      <c r="H42" s="3">
        <v>35</v>
      </c>
      <c r="I42" s="8">
        <v>10</v>
      </c>
      <c r="J42" s="3" t="s">
        <v>41</v>
      </c>
      <c r="K42" s="4" t="s">
        <v>15</v>
      </c>
      <c r="L42" s="5" t="s">
        <v>15</v>
      </c>
      <c r="M42" s="144"/>
      <c r="N42" s="281" t="s">
        <v>44</v>
      </c>
      <c r="O42" s="282"/>
      <c r="P42" s="283"/>
      <c r="Q42" s="28"/>
      <c r="R42" s="185"/>
      <c r="S42" s="40">
        <v>16</v>
      </c>
      <c r="T42" s="41" t="s">
        <v>11</v>
      </c>
      <c r="U42" s="44">
        <v>7</v>
      </c>
      <c r="V42" s="45" t="s">
        <v>750</v>
      </c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>
        <v>8</v>
      </c>
      <c r="B43" s="2" t="s">
        <v>668</v>
      </c>
      <c r="C43" s="133" t="s">
        <v>23</v>
      </c>
      <c r="D43" s="204">
        <v>163126</v>
      </c>
      <c r="E43" s="16" t="s">
        <v>192</v>
      </c>
      <c r="F43" s="2" t="s">
        <v>76</v>
      </c>
      <c r="G43" s="2">
        <v>2</v>
      </c>
      <c r="H43" s="3">
        <v>22</v>
      </c>
      <c r="I43" s="8" t="s">
        <v>34</v>
      </c>
      <c r="J43" s="3" t="s">
        <v>181</v>
      </c>
      <c r="K43" s="4" t="s">
        <v>15</v>
      </c>
      <c r="L43" s="5" t="s">
        <v>16</v>
      </c>
      <c r="M43" s="144"/>
      <c r="N43" s="90">
        <v>2</v>
      </c>
      <c r="O43" s="24">
        <v>5</v>
      </c>
      <c r="P43" s="93">
        <f t="shared" ref="P43:P50" si="7">N43*O43</f>
        <v>10</v>
      </c>
      <c r="Q43" s="29"/>
      <c r="R43" s="185"/>
      <c r="S43" s="40">
        <v>16</v>
      </c>
      <c r="T43" s="41" t="s">
        <v>387</v>
      </c>
      <c r="U43" s="44">
        <v>40</v>
      </c>
      <c r="V43" s="45" t="s">
        <v>39</v>
      </c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>
        <v>8</v>
      </c>
      <c r="B44" s="2">
        <v>401</v>
      </c>
      <c r="C44" s="133" t="s">
        <v>13</v>
      </c>
      <c r="D44" s="204">
        <v>1569</v>
      </c>
      <c r="E44" s="16" t="s">
        <v>159</v>
      </c>
      <c r="F44" s="2" t="s">
        <v>76</v>
      </c>
      <c r="G44" s="2">
        <v>2</v>
      </c>
      <c r="H44" s="3">
        <v>25</v>
      </c>
      <c r="I44" s="8">
        <v>8</v>
      </c>
      <c r="J44" s="3" t="s">
        <v>18</v>
      </c>
      <c r="K44" s="4" t="s">
        <v>15</v>
      </c>
      <c r="L44" s="5" t="s">
        <v>15</v>
      </c>
      <c r="M44" s="144"/>
      <c r="N44" s="91">
        <v>1</v>
      </c>
      <c r="O44" s="7">
        <v>41</v>
      </c>
      <c r="P44" s="94">
        <f>N44*O44</f>
        <v>41</v>
      </c>
      <c r="Q44" s="29"/>
      <c r="R44" s="185"/>
      <c r="S44" s="40">
        <v>17</v>
      </c>
      <c r="T44" s="41" t="s">
        <v>761</v>
      </c>
      <c r="U44" s="44">
        <v>55</v>
      </c>
      <c r="V44" s="45" t="s">
        <v>14</v>
      </c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>
        <v>8</v>
      </c>
      <c r="B45" s="2" t="s">
        <v>656</v>
      </c>
      <c r="C45" s="133" t="s">
        <v>17</v>
      </c>
      <c r="D45" s="204">
        <v>3259</v>
      </c>
      <c r="E45" s="18" t="s">
        <v>96</v>
      </c>
      <c r="F45" s="2" t="s">
        <v>666</v>
      </c>
      <c r="G45" s="2">
        <v>1</v>
      </c>
      <c r="H45" s="3">
        <v>70</v>
      </c>
      <c r="I45" s="8">
        <v>21</v>
      </c>
      <c r="J45" s="3" t="s">
        <v>27</v>
      </c>
      <c r="K45" s="4" t="s">
        <v>15</v>
      </c>
      <c r="L45" s="5" t="s">
        <v>15</v>
      </c>
      <c r="M45" s="144"/>
      <c r="N45" s="91">
        <v>0.5</v>
      </c>
      <c r="O45" s="7">
        <v>3</v>
      </c>
      <c r="P45" s="94">
        <f>N45*O45</f>
        <v>1.5</v>
      </c>
      <c r="Q45" s="31"/>
      <c r="R45" s="186"/>
      <c r="S45" s="40">
        <v>18</v>
      </c>
      <c r="T45" s="41" t="s">
        <v>398</v>
      </c>
      <c r="U45" s="44">
        <v>34.380000000000003</v>
      </c>
      <c r="V45" s="45" t="s">
        <v>27</v>
      </c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>
        <v>8</v>
      </c>
      <c r="B46" s="2" t="s">
        <v>333</v>
      </c>
      <c r="C46" s="133" t="s">
        <v>23</v>
      </c>
      <c r="D46" s="204">
        <v>172377</v>
      </c>
      <c r="E46" s="2" t="s">
        <v>261</v>
      </c>
      <c r="F46" s="2" t="s">
        <v>334</v>
      </c>
      <c r="G46" s="2">
        <v>2</v>
      </c>
      <c r="H46" s="3">
        <v>39</v>
      </c>
      <c r="I46" s="3" t="s">
        <v>34</v>
      </c>
      <c r="J46" s="3" t="s">
        <v>18</v>
      </c>
      <c r="K46" s="2" t="s">
        <v>15</v>
      </c>
      <c r="L46" s="5" t="s">
        <v>16</v>
      </c>
      <c r="M46" s="144"/>
      <c r="N46" s="91">
        <v>0.2</v>
      </c>
      <c r="O46" s="7">
        <v>4</v>
      </c>
      <c r="P46" s="94">
        <f t="shared" si="7"/>
        <v>0.8</v>
      </c>
      <c r="Q46" s="120" t="s">
        <v>25</v>
      </c>
      <c r="R46" s="187">
        <f>SUM(R34:R45)</f>
        <v>0.03</v>
      </c>
      <c r="S46" s="40">
        <v>18</v>
      </c>
      <c r="T46" s="41" t="s">
        <v>703</v>
      </c>
      <c r="U46" s="44">
        <v>10</v>
      </c>
      <c r="V46" s="45" t="s">
        <v>27</v>
      </c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>
        <v>8</v>
      </c>
      <c r="B47" s="2">
        <v>517</v>
      </c>
      <c r="C47" s="133" t="s">
        <v>13</v>
      </c>
      <c r="D47" s="204">
        <v>173907</v>
      </c>
      <c r="E47" s="9" t="s">
        <v>160</v>
      </c>
      <c r="F47" s="2" t="s">
        <v>76</v>
      </c>
      <c r="G47" s="2">
        <v>1</v>
      </c>
      <c r="H47" s="3">
        <v>25</v>
      </c>
      <c r="I47" s="3">
        <v>8</v>
      </c>
      <c r="J47" s="3" t="s">
        <v>593</v>
      </c>
      <c r="K47" s="2" t="s">
        <v>15</v>
      </c>
      <c r="L47" s="5" t="s">
        <v>15</v>
      </c>
      <c r="M47" s="144"/>
      <c r="N47" s="91">
        <v>0.1</v>
      </c>
      <c r="O47" s="7">
        <v>0</v>
      </c>
      <c r="P47" s="94">
        <f t="shared" si="7"/>
        <v>0</v>
      </c>
      <c r="Q47" s="318"/>
      <c r="R47" s="321"/>
      <c r="S47" s="40">
        <v>21</v>
      </c>
      <c r="T47" s="41" t="s">
        <v>784</v>
      </c>
      <c r="U47" s="44">
        <v>-10</v>
      </c>
      <c r="V47" s="45" t="s">
        <v>39</v>
      </c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>
        <v>8</v>
      </c>
      <c r="B48" s="2">
        <v>515</v>
      </c>
      <c r="C48" s="133" t="s">
        <v>13</v>
      </c>
      <c r="D48" s="225">
        <v>1575</v>
      </c>
      <c r="E48" s="2" t="s">
        <v>201</v>
      </c>
      <c r="F48" s="2" t="s">
        <v>46</v>
      </c>
      <c r="G48" s="2">
        <v>2</v>
      </c>
      <c r="H48" s="3">
        <v>25</v>
      </c>
      <c r="I48" s="3">
        <v>8</v>
      </c>
      <c r="J48" s="3" t="s">
        <v>41</v>
      </c>
      <c r="K48" s="2" t="s">
        <v>15</v>
      </c>
      <c r="L48" s="5" t="s">
        <v>15</v>
      </c>
      <c r="M48" s="144"/>
      <c r="N48" s="91">
        <v>0.05</v>
      </c>
      <c r="O48" s="7">
        <v>2</v>
      </c>
      <c r="P48" s="94">
        <f t="shared" si="7"/>
        <v>0.1</v>
      </c>
      <c r="Q48" s="115" t="s">
        <v>71</v>
      </c>
      <c r="R48" s="188">
        <f>SUM(U34:U61)</f>
        <v>415.33</v>
      </c>
      <c r="S48" s="40">
        <v>21</v>
      </c>
      <c r="T48" s="41" t="s">
        <v>777</v>
      </c>
      <c r="U48" s="44">
        <v>6.01</v>
      </c>
      <c r="V48" s="45" t="s">
        <v>27</v>
      </c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>
        <v>8</v>
      </c>
      <c r="B49" s="2">
        <v>307</v>
      </c>
      <c r="C49" s="133" t="s">
        <v>24</v>
      </c>
      <c r="D49" s="204" t="s">
        <v>684</v>
      </c>
      <c r="E49" s="2" t="s">
        <v>322</v>
      </c>
      <c r="F49" s="2" t="s">
        <v>683</v>
      </c>
      <c r="G49" s="2">
        <v>2</v>
      </c>
      <c r="H49" s="3">
        <v>212.5</v>
      </c>
      <c r="I49" s="3">
        <v>31.87</v>
      </c>
      <c r="J49" s="3" t="s">
        <v>14</v>
      </c>
      <c r="K49" s="2" t="s">
        <v>15</v>
      </c>
      <c r="L49" s="5" t="s">
        <v>15</v>
      </c>
      <c r="M49" s="144"/>
      <c r="N49" s="91">
        <v>0.02</v>
      </c>
      <c r="O49" s="7">
        <v>0</v>
      </c>
      <c r="P49" s="94">
        <f t="shared" si="7"/>
        <v>0</v>
      </c>
      <c r="Q49" s="116" t="s">
        <v>70</v>
      </c>
      <c r="R49" s="189">
        <f>P41+P51+R46</f>
        <v>993.43999999999994</v>
      </c>
      <c r="S49" s="40">
        <v>22</v>
      </c>
      <c r="T49" s="41" t="s">
        <v>395</v>
      </c>
      <c r="U49" s="44">
        <v>-2</v>
      </c>
      <c r="V49" s="45" t="s">
        <v>39</v>
      </c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>
        <v>8</v>
      </c>
      <c r="B50" s="2">
        <v>205</v>
      </c>
      <c r="C50" s="133" t="s">
        <v>13</v>
      </c>
      <c r="D50" s="204">
        <v>1578</v>
      </c>
      <c r="E50" s="2" t="s">
        <v>402</v>
      </c>
      <c r="F50" s="2" t="s">
        <v>76</v>
      </c>
      <c r="G50" s="2">
        <v>2</v>
      </c>
      <c r="H50" s="3">
        <v>25</v>
      </c>
      <c r="I50" s="3">
        <v>8</v>
      </c>
      <c r="J50" s="3" t="s">
        <v>14</v>
      </c>
      <c r="K50" s="2" t="s">
        <v>15</v>
      </c>
      <c r="L50" s="5" t="s">
        <v>15</v>
      </c>
      <c r="M50" s="144"/>
      <c r="N50" s="92">
        <v>0.01</v>
      </c>
      <c r="O50" s="26">
        <v>1</v>
      </c>
      <c r="P50" s="95">
        <f t="shared" si="7"/>
        <v>0.01</v>
      </c>
      <c r="Q50" s="117" t="s">
        <v>59</v>
      </c>
      <c r="R50" s="190">
        <f>R49-R48</f>
        <v>578.1099999999999</v>
      </c>
      <c r="S50" s="40">
        <v>23</v>
      </c>
      <c r="T50" s="41" t="s">
        <v>703</v>
      </c>
      <c r="U50" s="44">
        <v>4</v>
      </c>
      <c r="V50" s="45" t="s">
        <v>14</v>
      </c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>
        <v>9</v>
      </c>
      <c r="B51" s="2" t="s">
        <v>685</v>
      </c>
      <c r="C51" s="133" t="s">
        <v>23</v>
      </c>
      <c r="D51" s="204">
        <v>165392</v>
      </c>
      <c r="E51" s="9" t="s">
        <v>126</v>
      </c>
      <c r="F51" s="2" t="s">
        <v>76</v>
      </c>
      <c r="G51" s="2">
        <v>2</v>
      </c>
      <c r="H51" s="3">
        <v>22</v>
      </c>
      <c r="I51" s="8" t="s">
        <v>34</v>
      </c>
      <c r="J51" s="3" t="s">
        <v>18</v>
      </c>
      <c r="K51" s="4" t="s">
        <v>15</v>
      </c>
      <c r="L51" s="5" t="s">
        <v>16</v>
      </c>
      <c r="M51" s="144"/>
      <c r="N51" s="269"/>
      <c r="O51" s="270"/>
      <c r="P51" s="118">
        <f>SUM(P43:P50)</f>
        <v>53.41</v>
      </c>
      <c r="Q51" s="125" t="s">
        <v>60</v>
      </c>
      <c r="R51" s="179">
        <f>R49/8</f>
        <v>124.17999999999999</v>
      </c>
      <c r="S51" s="40">
        <v>24</v>
      </c>
      <c r="T51" s="41" t="s">
        <v>787</v>
      </c>
      <c r="U51" s="44">
        <v>-1120</v>
      </c>
      <c r="V51" s="45" t="s">
        <v>36</v>
      </c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>
        <v>9</v>
      </c>
      <c r="B52" s="2" t="s">
        <v>676</v>
      </c>
      <c r="C52" s="133" t="s">
        <v>17</v>
      </c>
      <c r="D52" s="204">
        <v>174611</v>
      </c>
      <c r="E52" s="16" t="s">
        <v>96</v>
      </c>
      <c r="F52" s="2" t="s">
        <v>674</v>
      </c>
      <c r="G52" s="2">
        <v>4</v>
      </c>
      <c r="H52" s="3">
        <v>256</v>
      </c>
      <c r="I52" s="3">
        <v>76.8</v>
      </c>
      <c r="J52" s="3" t="s">
        <v>593</v>
      </c>
      <c r="K52" s="4" t="s">
        <v>15</v>
      </c>
      <c r="L52" s="5" t="s">
        <v>15</v>
      </c>
      <c r="M52" s="144"/>
      <c r="N52" s="143"/>
      <c r="O52" s="143" t="s">
        <v>45</v>
      </c>
      <c r="P52" s="143"/>
      <c r="Q52" s="143"/>
      <c r="R52" s="143"/>
      <c r="S52" s="40">
        <v>25</v>
      </c>
      <c r="T52" s="41" t="s">
        <v>597</v>
      </c>
      <c r="U52" s="44">
        <v>9</v>
      </c>
      <c r="V52" s="45" t="s">
        <v>14</v>
      </c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>
        <v>9</v>
      </c>
      <c r="B53" s="2">
        <v>324</v>
      </c>
      <c r="C53" s="133" t="s">
        <v>13</v>
      </c>
      <c r="D53" s="204">
        <v>1580</v>
      </c>
      <c r="E53" s="2" t="s">
        <v>115</v>
      </c>
      <c r="F53" s="2" t="s">
        <v>76</v>
      </c>
      <c r="G53" s="2">
        <v>2</v>
      </c>
      <c r="H53" s="3">
        <v>35</v>
      </c>
      <c r="I53" s="3">
        <v>10</v>
      </c>
      <c r="J53" s="3" t="s">
        <v>27</v>
      </c>
      <c r="K53" s="2" t="s">
        <v>15</v>
      </c>
      <c r="L53" s="5" t="s">
        <v>15</v>
      </c>
      <c r="M53" s="144"/>
      <c r="N53" s="143"/>
      <c r="O53" s="143"/>
      <c r="P53" s="143"/>
      <c r="Q53" s="143"/>
      <c r="R53" s="143"/>
      <c r="S53" s="40">
        <v>28</v>
      </c>
      <c r="T53" s="41" t="s">
        <v>803</v>
      </c>
      <c r="U53" s="42">
        <v>-10</v>
      </c>
      <c r="V53" s="45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>
        <v>9</v>
      </c>
      <c r="B54" s="2">
        <v>605</v>
      </c>
      <c r="C54" s="133" t="s">
        <v>13</v>
      </c>
      <c r="D54" s="204">
        <v>1572</v>
      </c>
      <c r="E54" s="2" t="s">
        <v>94</v>
      </c>
      <c r="F54" s="2" t="s">
        <v>76</v>
      </c>
      <c r="G54" s="2">
        <v>2</v>
      </c>
      <c r="H54" s="3">
        <v>25</v>
      </c>
      <c r="I54" s="3">
        <v>8</v>
      </c>
      <c r="J54" s="3" t="s">
        <v>39</v>
      </c>
      <c r="K54" s="2" t="s">
        <v>15</v>
      </c>
      <c r="L54" s="5" t="s">
        <v>15</v>
      </c>
      <c r="M54" s="144"/>
      <c r="N54" s="143"/>
      <c r="O54" s="143"/>
      <c r="P54" s="143"/>
      <c r="Q54" s="143"/>
      <c r="R54" s="143"/>
      <c r="S54" s="40">
        <v>30</v>
      </c>
      <c r="T54" s="41" t="s">
        <v>598</v>
      </c>
      <c r="U54" s="44">
        <v>-0.95</v>
      </c>
      <c r="V54" s="45" t="s">
        <v>14</v>
      </c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>
        <v>9</v>
      </c>
      <c r="B55" s="2">
        <v>224</v>
      </c>
      <c r="C55" s="133" t="s">
        <v>13</v>
      </c>
      <c r="D55" s="204">
        <v>1579</v>
      </c>
      <c r="E55" s="2" t="s">
        <v>94</v>
      </c>
      <c r="F55" s="2" t="s">
        <v>76</v>
      </c>
      <c r="G55" s="2">
        <v>1</v>
      </c>
      <c r="H55" s="3">
        <v>25</v>
      </c>
      <c r="I55" s="3">
        <v>8</v>
      </c>
      <c r="J55" s="3" t="s">
        <v>27</v>
      </c>
      <c r="K55" s="2" t="s">
        <v>15</v>
      </c>
      <c r="L55" s="5" t="s">
        <v>15</v>
      </c>
      <c r="M55" s="144"/>
      <c r="N55" s="143"/>
      <c r="O55" s="143"/>
      <c r="P55" s="143"/>
      <c r="Q55" s="143"/>
      <c r="R55" s="143"/>
      <c r="S55" s="40"/>
      <c r="T55" s="41"/>
      <c r="U55" s="42"/>
      <c r="V55" s="45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>
        <v>10</v>
      </c>
      <c r="B56" s="2">
        <v>508</v>
      </c>
      <c r="C56" s="133" t="s">
        <v>22</v>
      </c>
      <c r="D56" s="204">
        <v>174345</v>
      </c>
      <c r="E56" s="2" t="s">
        <v>34</v>
      </c>
      <c r="F56" s="2" t="s">
        <v>470</v>
      </c>
      <c r="G56" s="2">
        <v>1</v>
      </c>
      <c r="H56" s="3">
        <v>36</v>
      </c>
      <c r="I56" s="3">
        <v>9</v>
      </c>
      <c r="J56" s="3" t="s">
        <v>14</v>
      </c>
      <c r="K56" s="2" t="s">
        <v>15</v>
      </c>
      <c r="L56" s="5" t="s">
        <v>15</v>
      </c>
      <c r="M56" s="144"/>
      <c r="N56" s="143"/>
      <c r="O56" s="143"/>
      <c r="P56" s="143"/>
      <c r="Q56" s="143"/>
      <c r="R56" s="143"/>
      <c r="S56" s="40"/>
      <c r="T56" s="41"/>
      <c r="U56" s="44"/>
      <c r="V56" s="45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>
        <v>10</v>
      </c>
      <c r="B57" s="2">
        <v>212</v>
      </c>
      <c r="C57" s="133" t="s">
        <v>22</v>
      </c>
      <c r="D57" s="204">
        <v>174310</v>
      </c>
      <c r="E57" s="16" t="s">
        <v>34</v>
      </c>
      <c r="F57" s="2" t="s">
        <v>470</v>
      </c>
      <c r="G57" s="2">
        <v>5</v>
      </c>
      <c r="H57" s="3">
        <v>180</v>
      </c>
      <c r="I57" s="3">
        <v>45</v>
      </c>
      <c r="J57" s="3" t="s">
        <v>18</v>
      </c>
      <c r="K57" s="2" t="s">
        <v>15</v>
      </c>
      <c r="L57" s="5" t="s">
        <v>15</v>
      </c>
      <c r="M57" s="144"/>
      <c r="N57" s="143"/>
      <c r="O57" s="143"/>
      <c r="P57" s="143"/>
      <c r="Q57" s="143"/>
      <c r="R57" s="143"/>
      <c r="S57" s="40"/>
      <c r="T57" s="41"/>
      <c r="U57" s="44"/>
      <c r="V57" s="45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>
        <v>10</v>
      </c>
      <c r="B58" s="2">
        <v>317</v>
      </c>
      <c r="C58" s="133" t="s">
        <v>13</v>
      </c>
      <c r="D58" s="204">
        <v>1582</v>
      </c>
      <c r="E58" s="16" t="s">
        <v>192</v>
      </c>
      <c r="F58" s="2" t="s">
        <v>76</v>
      </c>
      <c r="G58" s="2">
        <v>2</v>
      </c>
      <c r="H58" s="3">
        <v>25</v>
      </c>
      <c r="I58" s="3">
        <v>8</v>
      </c>
      <c r="J58" s="3" t="s">
        <v>41</v>
      </c>
      <c r="K58" s="2" t="s">
        <v>15</v>
      </c>
      <c r="L58" s="5" t="s">
        <v>15</v>
      </c>
      <c r="M58" s="144"/>
      <c r="N58" s="143"/>
      <c r="O58" s="143"/>
      <c r="P58" s="143"/>
      <c r="Q58" s="143"/>
      <c r="R58" s="143"/>
      <c r="S58" s="40"/>
      <c r="T58" s="41"/>
      <c r="U58" s="44"/>
      <c r="V58" s="45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>
        <v>10</v>
      </c>
      <c r="B59" s="2" t="s">
        <v>339</v>
      </c>
      <c r="C59" s="133" t="s">
        <v>23</v>
      </c>
      <c r="D59" s="204">
        <v>173571</v>
      </c>
      <c r="E59" s="16" t="s">
        <v>252</v>
      </c>
      <c r="F59" s="2" t="s">
        <v>253</v>
      </c>
      <c r="G59" s="2">
        <v>2</v>
      </c>
      <c r="H59" s="3">
        <v>39</v>
      </c>
      <c r="I59" s="8" t="s">
        <v>34</v>
      </c>
      <c r="J59" s="3" t="s">
        <v>18</v>
      </c>
      <c r="K59" s="4" t="s">
        <v>15</v>
      </c>
      <c r="L59" s="5" t="s">
        <v>16</v>
      </c>
      <c r="M59" s="144"/>
      <c r="N59" s="143"/>
      <c r="O59" s="143"/>
      <c r="P59" s="143"/>
      <c r="Q59" s="143"/>
      <c r="R59" s="143"/>
      <c r="S59" s="40"/>
      <c r="T59" s="41"/>
      <c r="U59" s="44"/>
      <c r="V59" s="45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thickBot="1" x14ac:dyDescent="0.3">
      <c r="A60" s="1">
        <v>10</v>
      </c>
      <c r="B60" s="2" t="s">
        <v>337</v>
      </c>
      <c r="C60" s="133" t="s">
        <v>13</v>
      </c>
      <c r="D60" s="204">
        <v>2816</v>
      </c>
      <c r="E60" s="16" t="s">
        <v>94</v>
      </c>
      <c r="F60" s="2" t="s">
        <v>338</v>
      </c>
      <c r="G60" s="2">
        <v>2</v>
      </c>
      <c r="H60" s="3">
        <v>35</v>
      </c>
      <c r="I60" s="8">
        <v>10</v>
      </c>
      <c r="J60" s="3" t="s">
        <v>14</v>
      </c>
      <c r="K60" s="4" t="s">
        <v>15</v>
      </c>
      <c r="L60" s="5" t="s">
        <v>15</v>
      </c>
      <c r="M60" s="144"/>
      <c r="N60" s="143"/>
      <c r="O60" s="143"/>
      <c r="P60" s="143"/>
      <c r="Q60" s="143"/>
      <c r="R60" s="143"/>
      <c r="S60" s="46"/>
      <c r="T60" s="47"/>
      <c r="U60" s="256"/>
      <c r="V60" s="236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>
        <v>10</v>
      </c>
      <c r="B61" s="2" t="s">
        <v>686</v>
      </c>
      <c r="C61" s="133" t="s">
        <v>23</v>
      </c>
      <c r="D61" s="204">
        <v>174668</v>
      </c>
      <c r="E61" s="2" t="s">
        <v>652</v>
      </c>
      <c r="F61" s="2" t="s">
        <v>76</v>
      </c>
      <c r="G61" s="2">
        <v>2</v>
      </c>
      <c r="H61" s="3">
        <v>22</v>
      </c>
      <c r="I61" s="3" t="s">
        <v>34</v>
      </c>
      <c r="J61" s="3" t="s">
        <v>18</v>
      </c>
      <c r="K61" s="4" t="s">
        <v>15</v>
      </c>
      <c r="L61" s="5" t="s">
        <v>16</v>
      </c>
      <c r="M61" s="144"/>
      <c r="N61" s="143"/>
      <c r="O61" s="143"/>
      <c r="P61" s="143"/>
      <c r="Q61" s="143"/>
      <c r="R61" s="143"/>
      <c r="S61" s="255"/>
      <c r="T61" s="255"/>
      <c r="U61" s="255"/>
      <c r="V61" s="255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>
        <v>10</v>
      </c>
      <c r="B62" s="2" t="s">
        <v>335</v>
      </c>
      <c r="C62" s="133" t="s">
        <v>13</v>
      </c>
      <c r="D62" s="204">
        <v>2349</v>
      </c>
      <c r="E62" s="21" t="s">
        <v>336</v>
      </c>
      <c r="F62" s="2" t="s">
        <v>326</v>
      </c>
      <c r="G62" s="2">
        <v>2</v>
      </c>
      <c r="H62" s="3">
        <v>35</v>
      </c>
      <c r="I62" s="8">
        <v>10</v>
      </c>
      <c r="J62" s="3" t="s">
        <v>181</v>
      </c>
      <c r="K62" s="4" t="s">
        <v>15</v>
      </c>
      <c r="L62" s="5" t="s">
        <v>15</v>
      </c>
      <c r="M62" s="144"/>
      <c r="N62" s="143"/>
      <c r="O62" s="143"/>
      <c r="P62" s="143"/>
      <c r="Q62" s="143"/>
      <c r="R62" s="143"/>
      <c r="S62" s="143"/>
      <c r="T62" s="143"/>
      <c r="U62" s="266">
        <f>U38+U39+U41+U42+U47+U44+U48+U50+U53+U54</f>
        <v>69.990000000000009</v>
      </c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>
        <v>10</v>
      </c>
      <c r="B63" s="2" t="s">
        <v>680</v>
      </c>
      <c r="C63" s="133" t="s">
        <v>13</v>
      </c>
      <c r="D63" s="204">
        <v>1576</v>
      </c>
      <c r="E63" s="166" t="s">
        <v>682</v>
      </c>
      <c r="F63" s="2" t="s">
        <v>681</v>
      </c>
      <c r="G63" s="2">
        <v>2</v>
      </c>
      <c r="H63" s="3">
        <v>35</v>
      </c>
      <c r="I63" s="3">
        <v>10</v>
      </c>
      <c r="J63" s="3" t="s">
        <v>14</v>
      </c>
      <c r="K63" s="4" t="s">
        <v>15</v>
      </c>
      <c r="L63" s="5" t="s">
        <v>15</v>
      </c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>
        <v>11</v>
      </c>
      <c r="B64" s="2" t="s">
        <v>694</v>
      </c>
      <c r="C64" s="133" t="s">
        <v>13</v>
      </c>
      <c r="D64" s="204">
        <v>172377</v>
      </c>
      <c r="E64" s="21" t="s">
        <v>692</v>
      </c>
      <c r="F64" s="2" t="s">
        <v>693</v>
      </c>
      <c r="G64" s="2">
        <v>2</v>
      </c>
      <c r="H64" s="3">
        <v>25</v>
      </c>
      <c r="I64" s="3">
        <v>8</v>
      </c>
      <c r="J64" s="3" t="s">
        <v>42</v>
      </c>
      <c r="K64" s="4" t="s">
        <v>15</v>
      </c>
      <c r="L64" s="5" t="s">
        <v>15</v>
      </c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>
        <v>11</v>
      </c>
      <c r="B65" s="2" t="s">
        <v>699</v>
      </c>
      <c r="C65" s="133" t="s">
        <v>13</v>
      </c>
      <c r="D65" s="225">
        <v>1587</v>
      </c>
      <c r="E65" s="2" t="s">
        <v>86</v>
      </c>
      <c r="F65" s="2" t="s">
        <v>76</v>
      </c>
      <c r="G65" s="2">
        <v>1</v>
      </c>
      <c r="H65" s="3">
        <v>25</v>
      </c>
      <c r="I65" s="3">
        <v>8</v>
      </c>
      <c r="J65" s="3" t="s">
        <v>42</v>
      </c>
      <c r="K65" s="4" t="s">
        <v>15</v>
      </c>
      <c r="L65" s="5" t="s">
        <v>15</v>
      </c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>
        <v>11</v>
      </c>
      <c r="B66" s="2" t="s">
        <v>700</v>
      </c>
      <c r="C66" s="133" t="s">
        <v>24</v>
      </c>
      <c r="D66" s="204" t="s">
        <v>684</v>
      </c>
      <c r="E66" s="16" t="s">
        <v>701</v>
      </c>
      <c r="F66" s="2" t="s">
        <v>702</v>
      </c>
      <c r="G66" s="2">
        <v>4</v>
      </c>
      <c r="H66" s="3">
        <v>190</v>
      </c>
      <c r="I66" s="8">
        <v>28.5</v>
      </c>
      <c r="J66" s="3" t="s">
        <v>39</v>
      </c>
      <c r="K66" s="4" t="s">
        <v>15</v>
      </c>
      <c r="L66" s="5" t="s">
        <v>15</v>
      </c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>
        <v>12</v>
      </c>
      <c r="B67" s="2">
        <v>319</v>
      </c>
      <c r="C67" s="133" t="s">
        <v>13</v>
      </c>
      <c r="D67" s="204">
        <v>1586</v>
      </c>
      <c r="E67" s="16" t="s">
        <v>698</v>
      </c>
      <c r="F67" s="2" t="s">
        <v>46</v>
      </c>
      <c r="G67" s="2">
        <v>2</v>
      </c>
      <c r="H67" s="3">
        <v>25</v>
      </c>
      <c r="I67" s="3">
        <v>8</v>
      </c>
      <c r="J67" s="3" t="s">
        <v>14</v>
      </c>
      <c r="K67" s="4" t="s">
        <v>15</v>
      </c>
      <c r="L67" s="5" t="s">
        <v>15</v>
      </c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>
        <v>12</v>
      </c>
      <c r="B68" s="2" t="s">
        <v>704</v>
      </c>
      <c r="C68" s="133" t="s">
        <v>17</v>
      </c>
      <c r="D68" s="204">
        <v>3266</v>
      </c>
      <c r="E68" s="2" t="s">
        <v>705</v>
      </c>
      <c r="F68" s="2" t="s">
        <v>97</v>
      </c>
      <c r="G68" s="2">
        <v>1</v>
      </c>
      <c r="H68" s="3">
        <v>69</v>
      </c>
      <c r="I68" s="3">
        <v>20.7</v>
      </c>
      <c r="J68" s="3" t="s">
        <v>42</v>
      </c>
      <c r="K68" s="2" t="s">
        <v>15</v>
      </c>
      <c r="L68" s="5" t="s">
        <v>15</v>
      </c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>
        <v>12</v>
      </c>
      <c r="B69" s="2" t="s">
        <v>691</v>
      </c>
      <c r="C69" s="133" t="s">
        <v>23</v>
      </c>
      <c r="D69" s="204">
        <v>173571</v>
      </c>
      <c r="E69" s="21" t="s">
        <v>77</v>
      </c>
      <c r="F69" s="2" t="s">
        <v>76</v>
      </c>
      <c r="G69" s="2">
        <v>2</v>
      </c>
      <c r="H69" s="3">
        <v>22</v>
      </c>
      <c r="I69" s="8" t="s">
        <v>34</v>
      </c>
      <c r="J69" s="3" t="s">
        <v>18</v>
      </c>
      <c r="K69" s="4" t="s">
        <v>15</v>
      </c>
      <c r="L69" s="5" t="s">
        <v>16</v>
      </c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>
        <v>12</v>
      </c>
      <c r="B70" s="2" t="s">
        <v>689</v>
      </c>
      <c r="C70" s="133" t="s">
        <v>13</v>
      </c>
      <c r="D70" s="204">
        <v>1583</v>
      </c>
      <c r="E70" s="21" t="s">
        <v>139</v>
      </c>
      <c r="F70" s="2" t="s">
        <v>690</v>
      </c>
      <c r="G70" s="2">
        <v>6</v>
      </c>
      <c r="H70" s="3">
        <v>55</v>
      </c>
      <c r="I70" s="8">
        <v>15</v>
      </c>
      <c r="J70" s="3" t="s">
        <v>18</v>
      </c>
      <c r="K70" s="4" t="s">
        <v>15</v>
      </c>
      <c r="L70" s="5" t="s">
        <v>15</v>
      </c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2">
        <v>13</v>
      </c>
      <c r="B71" s="2">
        <v>504</v>
      </c>
      <c r="C71" s="133" t="s">
        <v>22</v>
      </c>
      <c r="D71" s="204">
        <v>173967</v>
      </c>
      <c r="E71" s="2" t="s">
        <v>34</v>
      </c>
      <c r="F71" s="2" t="s">
        <v>715</v>
      </c>
      <c r="G71" s="2">
        <v>2</v>
      </c>
      <c r="H71" s="3">
        <v>66</v>
      </c>
      <c r="I71" s="3">
        <v>16.5</v>
      </c>
      <c r="J71" s="3" t="s">
        <v>27</v>
      </c>
      <c r="K71" s="4" t="s">
        <v>15</v>
      </c>
      <c r="L71" s="5" t="s">
        <v>15</v>
      </c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>
        <v>13</v>
      </c>
      <c r="B72" s="2">
        <v>526</v>
      </c>
      <c r="C72" s="133" t="s">
        <v>22</v>
      </c>
      <c r="D72" s="204">
        <v>174177</v>
      </c>
      <c r="E72" s="2" t="s">
        <v>34</v>
      </c>
      <c r="F72" s="2" t="s">
        <v>470</v>
      </c>
      <c r="G72" s="2">
        <v>2</v>
      </c>
      <c r="H72" s="3">
        <v>72</v>
      </c>
      <c r="I72" s="3">
        <v>18</v>
      </c>
      <c r="J72" s="3" t="s">
        <v>14</v>
      </c>
      <c r="K72" s="4" t="s">
        <v>15</v>
      </c>
      <c r="L72" s="5" t="s">
        <v>15</v>
      </c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>
        <v>13</v>
      </c>
      <c r="B73" s="2" t="s">
        <v>337</v>
      </c>
      <c r="C73" s="133" t="s">
        <v>13</v>
      </c>
      <c r="D73" s="205">
        <v>2817</v>
      </c>
      <c r="E73" s="21" t="s">
        <v>562</v>
      </c>
      <c r="F73" s="2" t="s">
        <v>76</v>
      </c>
      <c r="G73" s="2">
        <v>2</v>
      </c>
      <c r="H73" s="3">
        <v>25</v>
      </c>
      <c r="I73" s="8">
        <v>8</v>
      </c>
      <c r="J73" s="3" t="s">
        <v>14</v>
      </c>
      <c r="K73" s="4" t="s">
        <v>15</v>
      </c>
      <c r="L73" s="5" t="s">
        <v>15</v>
      </c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>
        <v>13</v>
      </c>
      <c r="B74" s="2" t="s">
        <v>713</v>
      </c>
      <c r="C74" s="133" t="s">
        <v>13</v>
      </c>
      <c r="D74" s="204">
        <v>175270</v>
      </c>
      <c r="E74" s="21" t="s">
        <v>416</v>
      </c>
      <c r="F74" s="2" t="s">
        <v>383</v>
      </c>
      <c r="G74" s="2">
        <v>1</v>
      </c>
      <c r="H74" s="3">
        <v>25</v>
      </c>
      <c r="I74" s="8">
        <v>8</v>
      </c>
      <c r="J74" s="3" t="s">
        <v>42</v>
      </c>
      <c r="K74" s="4" t="s">
        <v>15</v>
      </c>
      <c r="L74" s="5" t="s">
        <v>15</v>
      </c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>
        <v>13</v>
      </c>
      <c r="B75" s="2">
        <v>416</v>
      </c>
      <c r="C75" s="133" t="s">
        <v>13</v>
      </c>
      <c r="D75" s="204">
        <v>1588</v>
      </c>
      <c r="E75" s="21" t="s">
        <v>242</v>
      </c>
      <c r="F75" s="2" t="s">
        <v>76</v>
      </c>
      <c r="G75" s="2">
        <v>2</v>
      </c>
      <c r="H75" s="3">
        <v>25</v>
      </c>
      <c r="I75" s="8">
        <v>8</v>
      </c>
      <c r="J75" s="3" t="s">
        <v>27</v>
      </c>
      <c r="K75" s="4" t="s">
        <v>15</v>
      </c>
      <c r="L75" s="5" t="s">
        <v>15</v>
      </c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>
        <v>13</v>
      </c>
      <c r="B76" s="2" t="s">
        <v>708</v>
      </c>
      <c r="C76" s="133" t="s">
        <v>17</v>
      </c>
      <c r="D76" s="204">
        <v>172377</v>
      </c>
      <c r="E76" s="21" t="s">
        <v>96</v>
      </c>
      <c r="F76" s="2" t="s">
        <v>97</v>
      </c>
      <c r="G76" s="2">
        <v>2</v>
      </c>
      <c r="H76" s="3">
        <v>138</v>
      </c>
      <c r="I76" s="8">
        <v>41.4</v>
      </c>
      <c r="J76" s="3" t="s">
        <v>27</v>
      </c>
      <c r="K76" s="4" t="s">
        <v>15</v>
      </c>
      <c r="L76" s="5" t="s">
        <v>15</v>
      </c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>
        <v>13</v>
      </c>
      <c r="B77" s="2" t="s">
        <v>707</v>
      </c>
      <c r="C77" s="133" t="s">
        <v>23</v>
      </c>
      <c r="D77" s="204">
        <v>172132</v>
      </c>
      <c r="E77" s="2" t="s">
        <v>201</v>
      </c>
      <c r="F77" s="2" t="s">
        <v>706</v>
      </c>
      <c r="G77" s="2">
        <v>2</v>
      </c>
      <c r="H77" s="3">
        <v>22</v>
      </c>
      <c r="I77" s="3" t="s">
        <v>34</v>
      </c>
      <c r="J77" s="3" t="s">
        <v>18</v>
      </c>
      <c r="K77" s="4" t="s">
        <v>15</v>
      </c>
      <c r="L77" s="5" t="s">
        <v>16</v>
      </c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>
        <v>13</v>
      </c>
      <c r="B78" s="2" t="s">
        <v>714</v>
      </c>
      <c r="C78" s="133" t="s">
        <v>23</v>
      </c>
      <c r="D78" s="204">
        <v>175318</v>
      </c>
      <c r="E78" s="2" t="s">
        <v>370</v>
      </c>
      <c r="F78" s="2" t="s">
        <v>158</v>
      </c>
      <c r="G78" s="2">
        <v>1</v>
      </c>
      <c r="H78" s="3">
        <v>39</v>
      </c>
      <c r="I78" s="8" t="s">
        <v>34</v>
      </c>
      <c r="J78" s="3" t="s">
        <v>27</v>
      </c>
      <c r="K78" s="4" t="s">
        <v>15</v>
      </c>
      <c r="L78" s="5" t="s">
        <v>16</v>
      </c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>
        <v>13</v>
      </c>
      <c r="B79" s="2" t="s">
        <v>661</v>
      </c>
      <c r="C79" s="133" t="s">
        <v>13</v>
      </c>
      <c r="D79" s="204">
        <v>171577</v>
      </c>
      <c r="E79" s="9" t="s">
        <v>238</v>
      </c>
      <c r="F79" s="2" t="s">
        <v>158</v>
      </c>
      <c r="G79" s="2">
        <v>2</v>
      </c>
      <c r="H79" s="3">
        <v>35</v>
      </c>
      <c r="I79" s="8">
        <v>10</v>
      </c>
      <c r="J79" s="3" t="s">
        <v>593</v>
      </c>
      <c r="K79" s="4" t="s">
        <v>15</v>
      </c>
      <c r="L79" s="5" t="s">
        <v>15</v>
      </c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>
        <v>14</v>
      </c>
      <c r="B80" s="2">
        <v>201</v>
      </c>
      <c r="C80" s="133" t="s">
        <v>13</v>
      </c>
      <c r="D80" s="204">
        <v>1591</v>
      </c>
      <c r="E80" s="2" t="s">
        <v>296</v>
      </c>
      <c r="F80" s="2" t="s">
        <v>76</v>
      </c>
      <c r="G80" s="2">
        <v>2</v>
      </c>
      <c r="H80" s="3">
        <v>25</v>
      </c>
      <c r="I80" s="8">
        <v>8</v>
      </c>
      <c r="J80" s="3" t="s">
        <v>39</v>
      </c>
      <c r="K80" s="4" t="s">
        <v>15</v>
      </c>
      <c r="L80" s="5" t="s">
        <v>15</v>
      </c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>
        <v>14</v>
      </c>
      <c r="B81" s="2">
        <v>112</v>
      </c>
      <c r="C81" s="133" t="s">
        <v>13</v>
      </c>
      <c r="D81" s="2">
        <v>1599</v>
      </c>
      <c r="E81" s="9" t="s">
        <v>720</v>
      </c>
      <c r="F81" s="2" t="s">
        <v>46</v>
      </c>
      <c r="G81" s="2">
        <v>2</v>
      </c>
      <c r="H81" s="3">
        <v>25</v>
      </c>
      <c r="I81" s="8">
        <v>8</v>
      </c>
      <c r="J81" s="3" t="s">
        <v>42</v>
      </c>
      <c r="K81" s="4" t="s">
        <v>15</v>
      </c>
      <c r="L81" s="5" t="s">
        <v>15</v>
      </c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>
        <v>14</v>
      </c>
      <c r="B82" s="2" t="s">
        <v>663</v>
      </c>
      <c r="C82" s="133" t="s">
        <v>17</v>
      </c>
      <c r="D82" s="204">
        <v>3264</v>
      </c>
      <c r="E82" s="2" t="s">
        <v>96</v>
      </c>
      <c r="F82" s="2" t="s">
        <v>97</v>
      </c>
      <c r="G82" s="2">
        <v>2</v>
      </c>
      <c r="H82" s="3">
        <v>138</v>
      </c>
      <c r="I82" s="8">
        <v>41.4</v>
      </c>
      <c r="J82" s="3" t="s">
        <v>26</v>
      </c>
      <c r="K82" s="4" t="s">
        <v>15</v>
      </c>
      <c r="L82" s="5" t="s">
        <v>16</v>
      </c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>
        <v>14</v>
      </c>
      <c r="B83" s="2" t="s">
        <v>716</v>
      </c>
      <c r="C83" s="133" t="s">
        <v>17</v>
      </c>
      <c r="D83" s="204">
        <v>3267</v>
      </c>
      <c r="E83" s="2" t="s">
        <v>96</v>
      </c>
      <c r="F83" s="2" t="s">
        <v>97</v>
      </c>
      <c r="G83" s="2">
        <v>2</v>
      </c>
      <c r="H83" s="238">
        <v>138</v>
      </c>
      <c r="I83" s="8">
        <v>41.4</v>
      </c>
      <c r="J83" s="3" t="s">
        <v>42</v>
      </c>
      <c r="K83" s="4" t="s">
        <v>15</v>
      </c>
      <c r="L83" s="5" t="s">
        <v>15</v>
      </c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>
        <v>14</v>
      </c>
      <c r="B84" s="2">
        <v>416</v>
      </c>
      <c r="C84" s="133" t="s">
        <v>13</v>
      </c>
      <c r="D84" s="204">
        <v>1596</v>
      </c>
      <c r="E84" s="21" t="s">
        <v>127</v>
      </c>
      <c r="F84" s="2" t="s">
        <v>46</v>
      </c>
      <c r="G84" s="2">
        <v>2</v>
      </c>
      <c r="H84" s="3">
        <v>25</v>
      </c>
      <c r="I84" s="8">
        <v>8</v>
      </c>
      <c r="J84" s="3" t="s">
        <v>39</v>
      </c>
      <c r="K84" s="4" t="s">
        <v>15</v>
      </c>
      <c r="L84" s="5" t="s">
        <v>15</v>
      </c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>
        <v>14</v>
      </c>
      <c r="B85" s="2" t="s">
        <v>722</v>
      </c>
      <c r="C85" s="133" t="s">
        <v>13</v>
      </c>
      <c r="D85" s="204" t="s">
        <v>34</v>
      </c>
      <c r="E85" s="21" t="s">
        <v>91</v>
      </c>
      <c r="F85" s="2" t="s">
        <v>721</v>
      </c>
      <c r="G85" s="2">
        <v>2</v>
      </c>
      <c r="H85" s="3">
        <v>35</v>
      </c>
      <c r="I85" s="8">
        <v>10</v>
      </c>
      <c r="J85" s="3" t="s">
        <v>27</v>
      </c>
      <c r="K85" s="4" t="s">
        <v>15</v>
      </c>
      <c r="L85" s="5" t="s">
        <v>15</v>
      </c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>
        <v>14</v>
      </c>
      <c r="B86" s="2" t="s">
        <v>542</v>
      </c>
      <c r="C86" s="133" t="s">
        <v>13</v>
      </c>
      <c r="D86" s="204">
        <v>451</v>
      </c>
      <c r="E86" s="9" t="s">
        <v>483</v>
      </c>
      <c r="F86" s="2" t="s">
        <v>543</v>
      </c>
      <c r="G86" s="2">
        <v>8</v>
      </c>
      <c r="H86" s="3">
        <v>55</v>
      </c>
      <c r="I86" s="8">
        <v>15</v>
      </c>
      <c r="J86" s="3" t="s">
        <v>18</v>
      </c>
      <c r="K86" s="4" t="s">
        <v>15</v>
      </c>
      <c r="L86" s="5" t="s">
        <v>15</v>
      </c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>
        <v>14</v>
      </c>
      <c r="B87" s="2" t="s">
        <v>341</v>
      </c>
      <c r="C87" s="133" t="s">
        <v>23</v>
      </c>
      <c r="D87" s="204">
        <v>169822</v>
      </c>
      <c r="E87" s="2" t="s">
        <v>273</v>
      </c>
      <c r="F87" s="2" t="s">
        <v>342</v>
      </c>
      <c r="G87" s="2">
        <v>1</v>
      </c>
      <c r="H87" s="3">
        <v>39</v>
      </c>
      <c r="I87" s="8" t="s">
        <v>34</v>
      </c>
      <c r="J87" s="3" t="s">
        <v>18</v>
      </c>
      <c r="K87" s="4" t="s">
        <v>15</v>
      </c>
      <c r="L87" s="5" t="s">
        <v>16</v>
      </c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>
        <v>14</v>
      </c>
      <c r="B88" s="2" t="s">
        <v>712</v>
      </c>
      <c r="C88" s="133" t="s">
        <v>13</v>
      </c>
      <c r="D88" s="204">
        <v>1590</v>
      </c>
      <c r="E88" s="9" t="s">
        <v>724</v>
      </c>
      <c r="F88" s="2" t="s">
        <v>711</v>
      </c>
      <c r="G88" s="2">
        <v>2</v>
      </c>
      <c r="H88" s="3">
        <v>35</v>
      </c>
      <c r="I88" s="8">
        <v>10</v>
      </c>
      <c r="J88" s="3" t="s">
        <v>39</v>
      </c>
      <c r="K88" s="4" t="s">
        <v>15</v>
      </c>
      <c r="L88" s="5" t="s">
        <v>15</v>
      </c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>
        <v>14</v>
      </c>
      <c r="B89" s="2">
        <v>509</v>
      </c>
      <c r="C89" s="133" t="s">
        <v>13</v>
      </c>
      <c r="D89" s="204">
        <v>1593</v>
      </c>
      <c r="E89" s="2" t="s">
        <v>94</v>
      </c>
      <c r="F89" s="2" t="s">
        <v>76</v>
      </c>
      <c r="G89" s="2">
        <v>2</v>
      </c>
      <c r="H89" s="3">
        <v>25</v>
      </c>
      <c r="I89" s="8">
        <v>8</v>
      </c>
      <c r="J89" s="3" t="s">
        <v>27</v>
      </c>
      <c r="K89" s="4" t="s">
        <v>15</v>
      </c>
      <c r="L89" s="5" t="s">
        <v>15</v>
      </c>
      <c r="M89" s="144"/>
      <c r="N89" s="143"/>
      <c r="O89" s="175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>
        <v>15</v>
      </c>
      <c r="B90" s="2">
        <v>608</v>
      </c>
      <c r="C90" s="133" t="s">
        <v>13</v>
      </c>
      <c r="D90" s="2">
        <v>2608</v>
      </c>
      <c r="E90" s="2" t="s">
        <v>192</v>
      </c>
      <c r="F90" s="2" t="s">
        <v>76</v>
      </c>
      <c r="G90" s="2">
        <v>1</v>
      </c>
      <c r="H90" s="3">
        <v>25</v>
      </c>
      <c r="I90" s="8">
        <v>8</v>
      </c>
      <c r="J90" s="3" t="s">
        <v>42</v>
      </c>
      <c r="K90" s="4" t="s">
        <v>15</v>
      </c>
      <c r="L90" s="5" t="s">
        <v>15</v>
      </c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>
        <v>15</v>
      </c>
      <c r="B91" s="2">
        <v>518</v>
      </c>
      <c r="C91" s="133" t="s">
        <v>13</v>
      </c>
      <c r="D91" s="204">
        <v>2603</v>
      </c>
      <c r="E91" s="9" t="s">
        <v>296</v>
      </c>
      <c r="F91" s="2" t="s">
        <v>76</v>
      </c>
      <c r="G91" s="2">
        <v>2</v>
      </c>
      <c r="H91" s="3">
        <v>25</v>
      </c>
      <c r="I91" s="8">
        <v>8</v>
      </c>
      <c r="J91" s="3" t="s">
        <v>39</v>
      </c>
      <c r="K91" s="4" t="s">
        <v>15</v>
      </c>
      <c r="L91" s="5" t="s">
        <v>15</v>
      </c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>
        <v>15</v>
      </c>
      <c r="B92" s="2">
        <v>215</v>
      </c>
      <c r="C92" s="133" t="s">
        <v>13</v>
      </c>
      <c r="D92" s="2">
        <v>2604</v>
      </c>
      <c r="E92" s="2" t="s">
        <v>730</v>
      </c>
      <c r="F92" s="2" t="s">
        <v>46</v>
      </c>
      <c r="G92" s="2">
        <v>2</v>
      </c>
      <c r="H92" s="3">
        <v>25</v>
      </c>
      <c r="I92" s="8">
        <v>8</v>
      </c>
      <c r="J92" s="3" t="s">
        <v>14</v>
      </c>
      <c r="K92" s="4" t="s">
        <v>15</v>
      </c>
      <c r="L92" s="5" t="s">
        <v>15</v>
      </c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>
        <v>15</v>
      </c>
      <c r="B93" s="2" t="s">
        <v>726</v>
      </c>
      <c r="C93" s="133" t="s">
        <v>23</v>
      </c>
      <c r="D93" s="231">
        <v>172377</v>
      </c>
      <c r="E93" s="2" t="s">
        <v>153</v>
      </c>
      <c r="F93" s="2" t="s">
        <v>76</v>
      </c>
      <c r="G93" s="2">
        <v>2</v>
      </c>
      <c r="H93" s="3">
        <v>22</v>
      </c>
      <c r="I93" s="8" t="s">
        <v>34</v>
      </c>
      <c r="J93" s="3" t="s">
        <v>18</v>
      </c>
      <c r="K93" s="4" t="s">
        <v>15</v>
      </c>
      <c r="L93" s="5" t="s">
        <v>16</v>
      </c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>
        <v>15</v>
      </c>
      <c r="B94" s="2">
        <v>308</v>
      </c>
      <c r="C94" s="133" t="s">
        <v>20</v>
      </c>
      <c r="D94" s="204" t="s">
        <v>34</v>
      </c>
      <c r="E94" s="2" t="s">
        <v>153</v>
      </c>
      <c r="F94" s="2" t="s">
        <v>723</v>
      </c>
      <c r="G94" s="2">
        <v>2</v>
      </c>
      <c r="H94" s="3">
        <v>25</v>
      </c>
      <c r="I94" s="3">
        <v>8</v>
      </c>
      <c r="J94" s="3" t="s">
        <v>27</v>
      </c>
      <c r="K94" s="4" t="s">
        <v>15</v>
      </c>
      <c r="L94" s="5" t="s">
        <v>16</v>
      </c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>
        <v>15</v>
      </c>
      <c r="B95" s="2">
        <v>604</v>
      </c>
      <c r="C95" s="133" t="s">
        <v>13</v>
      </c>
      <c r="D95" s="239">
        <v>1600</v>
      </c>
      <c r="E95" s="2" t="s">
        <v>155</v>
      </c>
      <c r="F95" s="2" t="s">
        <v>76</v>
      </c>
      <c r="G95" s="2">
        <v>2</v>
      </c>
      <c r="H95" s="3">
        <v>25</v>
      </c>
      <c r="I95" s="8">
        <v>8</v>
      </c>
      <c r="J95" s="3" t="s">
        <v>27</v>
      </c>
      <c r="K95" s="4" t="s">
        <v>15</v>
      </c>
      <c r="L95" s="5" t="s">
        <v>15</v>
      </c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>
        <v>15</v>
      </c>
      <c r="B96" s="2">
        <v>526</v>
      </c>
      <c r="C96" s="133" t="s">
        <v>13</v>
      </c>
      <c r="D96" s="204">
        <v>2605</v>
      </c>
      <c r="E96" s="2" t="s">
        <v>109</v>
      </c>
      <c r="F96" s="2" t="s">
        <v>76</v>
      </c>
      <c r="G96" s="2">
        <v>2</v>
      </c>
      <c r="H96" s="3">
        <v>25</v>
      </c>
      <c r="I96" s="3">
        <v>8</v>
      </c>
      <c r="J96" s="3" t="s">
        <v>39</v>
      </c>
      <c r="K96" s="4" t="s">
        <v>15</v>
      </c>
      <c r="L96" s="5" t="s">
        <v>15</v>
      </c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>
        <v>15</v>
      </c>
      <c r="B97" s="2">
        <v>507</v>
      </c>
      <c r="C97" s="133" t="s">
        <v>13</v>
      </c>
      <c r="D97" s="2">
        <v>2609</v>
      </c>
      <c r="E97" s="2" t="s">
        <v>109</v>
      </c>
      <c r="F97" s="2" t="s">
        <v>76</v>
      </c>
      <c r="G97" s="2">
        <v>2</v>
      </c>
      <c r="H97" s="3">
        <v>25</v>
      </c>
      <c r="I97" s="3">
        <v>8</v>
      </c>
      <c r="J97" s="3" t="s">
        <v>39</v>
      </c>
      <c r="K97" s="4" t="s">
        <v>15</v>
      </c>
      <c r="L97" s="5" t="s">
        <v>15</v>
      </c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>
        <v>15</v>
      </c>
      <c r="B98" s="2" t="s">
        <v>680</v>
      </c>
      <c r="C98" s="133" t="s">
        <v>13</v>
      </c>
      <c r="D98" s="204">
        <v>1577</v>
      </c>
      <c r="E98" s="2" t="s">
        <v>91</v>
      </c>
      <c r="F98" s="2" t="s">
        <v>76</v>
      </c>
      <c r="G98" s="2">
        <v>2</v>
      </c>
      <c r="H98" s="3">
        <v>25</v>
      </c>
      <c r="I98" s="3">
        <v>8</v>
      </c>
      <c r="J98" s="3" t="s">
        <v>14</v>
      </c>
      <c r="K98" s="4" t="s">
        <v>15</v>
      </c>
      <c r="L98" s="5" t="s">
        <v>15</v>
      </c>
      <c r="M98" s="144"/>
      <c r="N98" s="143"/>
      <c r="O98" s="175"/>
      <c r="P98" s="143"/>
      <c r="Q98" s="143"/>
      <c r="R98" s="175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>
        <v>15</v>
      </c>
      <c r="B99" s="2">
        <v>423</v>
      </c>
      <c r="C99" s="133" t="s">
        <v>13</v>
      </c>
      <c r="D99" s="204">
        <v>1598</v>
      </c>
      <c r="E99" s="2" t="s">
        <v>99</v>
      </c>
      <c r="F99" s="2" t="s">
        <v>455</v>
      </c>
      <c r="G99" s="2">
        <v>2</v>
      </c>
      <c r="H99" s="3">
        <v>25</v>
      </c>
      <c r="I99" s="3">
        <v>8</v>
      </c>
      <c r="J99" s="3" t="s">
        <v>39</v>
      </c>
      <c r="K99" s="4" t="s">
        <v>15</v>
      </c>
      <c r="L99" s="5" t="s">
        <v>15</v>
      </c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>
        <v>15</v>
      </c>
      <c r="B100" s="240" t="s">
        <v>737</v>
      </c>
      <c r="C100" s="133" t="s">
        <v>13</v>
      </c>
      <c r="D100" s="204">
        <v>2614</v>
      </c>
      <c r="E100" s="2" t="s">
        <v>110</v>
      </c>
      <c r="F100" s="2" t="s">
        <v>76</v>
      </c>
      <c r="G100" s="2">
        <v>1</v>
      </c>
      <c r="H100" s="3">
        <v>25</v>
      </c>
      <c r="I100" s="3">
        <v>8</v>
      </c>
      <c r="J100" s="3" t="s">
        <v>27</v>
      </c>
      <c r="K100" s="4" t="s">
        <v>15</v>
      </c>
      <c r="L100" s="5" t="s">
        <v>15</v>
      </c>
      <c r="M100" s="144"/>
      <c r="N100" s="143" t="s">
        <v>760</v>
      </c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241">
        <v>15</v>
      </c>
      <c r="B101" s="242" t="s">
        <v>709</v>
      </c>
      <c r="C101" s="243" t="s">
        <v>13</v>
      </c>
      <c r="D101" s="244">
        <v>1589</v>
      </c>
      <c r="E101" s="245" t="s">
        <v>710</v>
      </c>
      <c r="F101" s="242" t="s">
        <v>240</v>
      </c>
      <c r="G101" s="242">
        <v>2</v>
      </c>
      <c r="H101" s="246">
        <v>0</v>
      </c>
      <c r="I101" s="248">
        <v>0</v>
      </c>
      <c r="J101" s="246" t="s">
        <v>42</v>
      </c>
      <c r="K101" s="247" t="s">
        <v>15</v>
      </c>
      <c r="L101" s="5" t="s">
        <v>15</v>
      </c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>
        <v>15</v>
      </c>
      <c r="B102" s="2" t="s">
        <v>727</v>
      </c>
      <c r="C102" s="133" t="s">
        <v>13</v>
      </c>
      <c r="D102" s="204">
        <v>2602</v>
      </c>
      <c r="E102" s="9" t="s">
        <v>729</v>
      </c>
      <c r="F102" s="2" t="s">
        <v>728</v>
      </c>
      <c r="G102" s="2">
        <v>1</v>
      </c>
      <c r="H102" s="3">
        <v>35</v>
      </c>
      <c r="I102" s="8">
        <v>10</v>
      </c>
      <c r="J102" s="3" t="s">
        <v>39</v>
      </c>
      <c r="K102" s="4" t="s">
        <v>15</v>
      </c>
      <c r="L102" s="5" t="s">
        <v>15</v>
      </c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>
        <v>16</v>
      </c>
      <c r="B103" s="2" t="s">
        <v>193</v>
      </c>
      <c r="C103" s="133" t="s">
        <v>13</v>
      </c>
      <c r="D103" s="2">
        <v>2620</v>
      </c>
      <c r="E103" s="2" t="s">
        <v>747</v>
      </c>
      <c r="F103" s="2" t="s">
        <v>46</v>
      </c>
      <c r="G103" s="2">
        <v>4</v>
      </c>
      <c r="H103" s="3">
        <v>40</v>
      </c>
      <c r="I103" s="3">
        <v>12</v>
      </c>
      <c r="J103" s="3" t="s">
        <v>14</v>
      </c>
      <c r="K103" s="4" t="s">
        <v>15</v>
      </c>
      <c r="L103" s="5" t="s">
        <v>15</v>
      </c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>
        <v>16</v>
      </c>
      <c r="B104" s="2">
        <v>404</v>
      </c>
      <c r="C104" s="133" t="s">
        <v>13</v>
      </c>
      <c r="D104" s="2">
        <v>2613</v>
      </c>
      <c r="E104" s="2" t="s">
        <v>535</v>
      </c>
      <c r="F104" s="2" t="s">
        <v>76</v>
      </c>
      <c r="G104" s="2">
        <v>2</v>
      </c>
      <c r="H104" s="3">
        <v>25</v>
      </c>
      <c r="I104" s="3">
        <v>8</v>
      </c>
      <c r="J104" s="3" t="s">
        <v>27</v>
      </c>
      <c r="K104" s="4" t="s">
        <v>15</v>
      </c>
      <c r="L104" s="5" t="s">
        <v>15</v>
      </c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>
        <v>16</v>
      </c>
      <c r="B105" s="2">
        <v>512</v>
      </c>
      <c r="C105" s="133" t="s">
        <v>13</v>
      </c>
      <c r="D105" s="204">
        <v>2615</v>
      </c>
      <c r="E105" s="2" t="s">
        <v>242</v>
      </c>
      <c r="F105" s="2" t="s">
        <v>76</v>
      </c>
      <c r="G105" s="2">
        <v>2</v>
      </c>
      <c r="H105" s="3">
        <v>25</v>
      </c>
      <c r="I105" s="3">
        <v>8</v>
      </c>
      <c r="J105" s="3" t="s">
        <v>27</v>
      </c>
      <c r="K105" s="4" t="s">
        <v>15</v>
      </c>
      <c r="L105" s="5" t="s">
        <v>15</v>
      </c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>
        <v>16</v>
      </c>
      <c r="B106" s="2" t="s">
        <v>714</v>
      </c>
      <c r="C106" s="133" t="s">
        <v>23</v>
      </c>
      <c r="D106" s="231">
        <v>175318</v>
      </c>
      <c r="E106" s="2" t="s">
        <v>748</v>
      </c>
      <c r="F106" s="2" t="s">
        <v>749</v>
      </c>
      <c r="G106" s="2">
        <v>1</v>
      </c>
      <c r="H106" s="3">
        <v>22</v>
      </c>
      <c r="I106" s="3" t="s">
        <v>34</v>
      </c>
      <c r="J106" s="3" t="s">
        <v>27</v>
      </c>
      <c r="K106" s="4" t="s">
        <v>15</v>
      </c>
      <c r="L106" s="5" t="s">
        <v>16</v>
      </c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>
        <v>16</v>
      </c>
      <c r="B107" s="2" t="s">
        <v>660</v>
      </c>
      <c r="C107" s="133" t="s">
        <v>23</v>
      </c>
      <c r="D107" s="231">
        <v>175080</v>
      </c>
      <c r="E107" s="9" t="s">
        <v>142</v>
      </c>
      <c r="F107" s="2" t="s">
        <v>304</v>
      </c>
      <c r="G107" s="2">
        <v>6</v>
      </c>
      <c r="H107" s="3">
        <v>55</v>
      </c>
      <c r="I107" s="3">
        <v>15</v>
      </c>
      <c r="J107" s="3" t="s">
        <v>41</v>
      </c>
      <c r="K107" s="4" t="s">
        <v>15</v>
      </c>
      <c r="L107" s="5" t="s">
        <v>16</v>
      </c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>
        <v>16</v>
      </c>
      <c r="B108" s="2" t="s">
        <v>754</v>
      </c>
      <c r="C108" s="133" t="s">
        <v>13</v>
      </c>
      <c r="D108" s="2">
        <v>2623</v>
      </c>
      <c r="E108" s="21" t="s">
        <v>139</v>
      </c>
      <c r="F108" s="2" t="s">
        <v>76</v>
      </c>
      <c r="G108" s="2">
        <v>2</v>
      </c>
      <c r="H108" s="3">
        <v>25</v>
      </c>
      <c r="I108" s="8">
        <v>8</v>
      </c>
      <c r="J108" s="3" t="s">
        <v>750</v>
      </c>
      <c r="K108" s="4" t="s">
        <v>15</v>
      </c>
      <c r="L108" s="5" t="s">
        <v>15</v>
      </c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>
        <v>16</v>
      </c>
      <c r="B109" s="2" t="s">
        <v>752</v>
      </c>
      <c r="C109" s="133" t="s">
        <v>13</v>
      </c>
      <c r="D109" s="2">
        <v>2621</v>
      </c>
      <c r="E109" s="2" t="s">
        <v>430</v>
      </c>
      <c r="F109" s="2" t="s">
        <v>753</v>
      </c>
      <c r="G109" s="2">
        <v>5</v>
      </c>
      <c r="H109" s="3">
        <v>150</v>
      </c>
      <c r="I109" s="3">
        <v>37.5</v>
      </c>
      <c r="J109" s="3" t="s">
        <v>42</v>
      </c>
      <c r="K109" s="4" t="s">
        <v>15</v>
      </c>
      <c r="L109" s="5" t="s">
        <v>15</v>
      </c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>
        <v>16</v>
      </c>
      <c r="B110" s="2" t="s">
        <v>755</v>
      </c>
      <c r="C110" s="133" t="s">
        <v>13</v>
      </c>
      <c r="D110" s="2">
        <v>2624</v>
      </c>
      <c r="E110" s="2" t="s">
        <v>166</v>
      </c>
      <c r="F110" s="2" t="s">
        <v>76</v>
      </c>
      <c r="G110" s="2">
        <v>2</v>
      </c>
      <c r="H110" s="3">
        <v>25</v>
      </c>
      <c r="I110" s="3">
        <v>8</v>
      </c>
      <c r="J110" s="3" t="s">
        <v>750</v>
      </c>
      <c r="K110" s="4" t="s">
        <v>15</v>
      </c>
      <c r="L110" s="5" t="s">
        <v>15</v>
      </c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>
        <v>16</v>
      </c>
      <c r="B111" s="2" t="s">
        <v>734</v>
      </c>
      <c r="C111" s="133" t="s">
        <v>13</v>
      </c>
      <c r="D111" s="2">
        <v>2610</v>
      </c>
      <c r="E111" s="2" t="s">
        <v>735</v>
      </c>
      <c r="F111" s="2" t="s">
        <v>736</v>
      </c>
      <c r="G111" s="2">
        <v>4</v>
      </c>
      <c r="H111" s="3">
        <v>45</v>
      </c>
      <c r="I111" s="8">
        <v>12</v>
      </c>
      <c r="J111" s="3" t="s">
        <v>27</v>
      </c>
      <c r="K111" s="4" t="s">
        <v>15</v>
      </c>
      <c r="L111" s="5" t="s">
        <v>15</v>
      </c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>
        <v>17</v>
      </c>
      <c r="B112" s="2">
        <v>609</v>
      </c>
      <c r="C112" s="133" t="s">
        <v>13</v>
      </c>
      <c r="D112" s="2">
        <v>2616</v>
      </c>
      <c r="E112" s="2" t="s">
        <v>740</v>
      </c>
      <c r="F112" s="2" t="s">
        <v>46</v>
      </c>
      <c r="G112" s="2">
        <v>2</v>
      </c>
      <c r="H112" s="3">
        <v>25</v>
      </c>
      <c r="I112" s="3">
        <v>8</v>
      </c>
      <c r="J112" s="3" t="s">
        <v>27</v>
      </c>
      <c r="K112" s="4" t="s">
        <v>15</v>
      </c>
      <c r="L112" s="5" t="s">
        <v>15</v>
      </c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>
        <v>17</v>
      </c>
      <c r="B113" s="2">
        <v>302</v>
      </c>
      <c r="C113" s="133" t="s">
        <v>13</v>
      </c>
      <c r="D113" s="2">
        <v>2617</v>
      </c>
      <c r="E113" s="2" t="s">
        <v>742</v>
      </c>
      <c r="F113" s="2" t="s">
        <v>743</v>
      </c>
      <c r="G113" s="2">
        <v>2</v>
      </c>
      <c r="H113" s="3">
        <v>25</v>
      </c>
      <c r="I113" s="3">
        <v>8</v>
      </c>
      <c r="J113" s="3" t="s">
        <v>14</v>
      </c>
      <c r="K113" s="4" t="s">
        <v>15</v>
      </c>
      <c r="L113" s="5" t="s">
        <v>15</v>
      </c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>
        <v>17</v>
      </c>
      <c r="B114" s="2">
        <v>519</v>
      </c>
      <c r="C114" s="133" t="s">
        <v>13</v>
      </c>
      <c r="D114" s="2">
        <v>2626</v>
      </c>
      <c r="E114" s="2" t="s">
        <v>535</v>
      </c>
      <c r="F114" s="2" t="s">
        <v>468</v>
      </c>
      <c r="G114" s="2">
        <v>2</v>
      </c>
      <c r="H114" s="3">
        <v>25</v>
      </c>
      <c r="I114" s="3">
        <v>8</v>
      </c>
      <c r="J114" s="3" t="s">
        <v>27</v>
      </c>
      <c r="K114" s="4" t="s">
        <v>15</v>
      </c>
      <c r="L114" s="5" t="s">
        <v>15</v>
      </c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>
        <v>17</v>
      </c>
      <c r="B115" s="2" t="s">
        <v>758</v>
      </c>
      <c r="C115" s="133" t="s">
        <v>23</v>
      </c>
      <c r="D115" s="231">
        <v>174664</v>
      </c>
      <c r="E115" s="2" t="s">
        <v>127</v>
      </c>
      <c r="F115" s="2" t="s">
        <v>76</v>
      </c>
      <c r="G115" s="2">
        <v>2</v>
      </c>
      <c r="H115" s="3">
        <v>22</v>
      </c>
      <c r="I115" s="3" t="s">
        <v>34</v>
      </c>
      <c r="J115" s="3" t="s">
        <v>18</v>
      </c>
      <c r="K115" s="4" t="s">
        <v>15</v>
      </c>
      <c r="L115" s="5" t="s">
        <v>16</v>
      </c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>
        <v>17</v>
      </c>
      <c r="B116" s="2">
        <v>228</v>
      </c>
      <c r="C116" s="133" t="s">
        <v>13</v>
      </c>
      <c r="D116" s="2">
        <v>2628</v>
      </c>
      <c r="E116" s="2" t="s">
        <v>109</v>
      </c>
      <c r="F116" s="2" t="s">
        <v>76</v>
      </c>
      <c r="G116" s="2">
        <v>2</v>
      </c>
      <c r="H116" s="3">
        <v>25</v>
      </c>
      <c r="I116" s="3">
        <v>8</v>
      </c>
      <c r="J116" s="3" t="s">
        <v>39</v>
      </c>
      <c r="K116" s="4" t="s">
        <v>15</v>
      </c>
      <c r="L116" s="5" t="s">
        <v>15</v>
      </c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>
        <v>17</v>
      </c>
      <c r="B117" s="165" t="s">
        <v>343</v>
      </c>
      <c r="C117" s="133" t="s">
        <v>13</v>
      </c>
      <c r="D117" s="204">
        <v>686</v>
      </c>
      <c r="E117" s="2" t="s">
        <v>344</v>
      </c>
      <c r="F117" s="2" t="s">
        <v>345</v>
      </c>
      <c r="G117" s="2">
        <v>2</v>
      </c>
      <c r="H117" s="3">
        <v>35</v>
      </c>
      <c r="I117" s="3">
        <v>10</v>
      </c>
      <c r="J117" s="3" t="s">
        <v>98</v>
      </c>
      <c r="K117" s="4" t="s">
        <v>15</v>
      </c>
      <c r="L117" s="5" t="s">
        <v>15</v>
      </c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>
        <v>17</v>
      </c>
      <c r="B118" s="2" t="s">
        <v>751</v>
      </c>
      <c r="C118" s="133" t="s">
        <v>13</v>
      </c>
      <c r="D118" s="2">
        <v>2622</v>
      </c>
      <c r="E118" s="2" t="s">
        <v>502</v>
      </c>
      <c r="F118" s="2" t="s">
        <v>76</v>
      </c>
      <c r="G118" s="2">
        <v>2</v>
      </c>
      <c r="H118" s="3">
        <v>25</v>
      </c>
      <c r="I118" s="3">
        <v>8</v>
      </c>
      <c r="J118" s="3" t="s">
        <v>42</v>
      </c>
      <c r="K118" s="4" t="s">
        <v>15</v>
      </c>
      <c r="L118" s="5" t="s">
        <v>15</v>
      </c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>
        <v>18</v>
      </c>
      <c r="B119" s="2" t="s">
        <v>768</v>
      </c>
      <c r="C119" s="133" t="s">
        <v>22</v>
      </c>
      <c r="D119" s="2">
        <v>175469</v>
      </c>
      <c r="E119" s="2" t="s">
        <v>34</v>
      </c>
      <c r="F119" s="2" t="s">
        <v>470</v>
      </c>
      <c r="G119" s="2">
        <v>3</v>
      </c>
      <c r="H119" s="3">
        <v>108</v>
      </c>
      <c r="I119" s="3">
        <v>27</v>
      </c>
      <c r="J119" s="3" t="s">
        <v>42</v>
      </c>
      <c r="K119" s="4" t="s">
        <v>15</v>
      </c>
      <c r="L119" s="5" t="s">
        <v>15</v>
      </c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>
        <v>18</v>
      </c>
      <c r="B120" s="2">
        <v>115</v>
      </c>
      <c r="C120" s="133" t="s">
        <v>13</v>
      </c>
      <c r="D120" s="2">
        <v>2631</v>
      </c>
      <c r="E120" s="2" t="s">
        <v>762</v>
      </c>
      <c r="F120" s="2" t="s">
        <v>521</v>
      </c>
      <c r="G120" s="2">
        <v>4</v>
      </c>
      <c r="H120" s="3">
        <v>40</v>
      </c>
      <c r="I120" s="8">
        <v>12</v>
      </c>
      <c r="J120" s="3" t="s">
        <v>14</v>
      </c>
      <c r="K120" s="4" t="s">
        <v>15</v>
      </c>
      <c r="L120" s="5" t="s">
        <v>15</v>
      </c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>
        <v>18</v>
      </c>
      <c r="B121" s="2">
        <v>322</v>
      </c>
      <c r="C121" s="133" t="s">
        <v>13</v>
      </c>
      <c r="D121" s="204">
        <v>2601</v>
      </c>
      <c r="E121" s="2" t="s">
        <v>89</v>
      </c>
      <c r="F121" s="2" t="s">
        <v>767</v>
      </c>
      <c r="G121" s="2">
        <v>8</v>
      </c>
      <c r="H121" s="3">
        <v>55</v>
      </c>
      <c r="I121" s="3">
        <v>15</v>
      </c>
      <c r="J121" s="3" t="s">
        <v>18</v>
      </c>
      <c r="K121" s="4" t="s">
        <v>15</v>
      </c>
      <c r="L121" s="5" t="s">
        <v>15</v>
      </c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>
        <v>18</v>
      </c>
      <c r="B122" s="10">
        <v>315</v>
      </c>
      <c r="C122" s="133" t="s">
        <v>13</v>
      </c>
      <c r="D122" s="10">
        <v>2633</v>
      </c>
      <c r="E122" s="10" t="s">
        <v>766</v>
      </c>
      <c r="F122" s="2" t="s">
        <v>46</v>
      </c>
      <c r="G122" s="2">
        <v>2</v>
      </c>
      <c r="H122" s="3">
        <v>25</v>
      </c>
      <c r="I122" s="3">
        <v>8</v>
      </c>
      <c r="J122" s="3" t="s">
        <v>14</v>
      </c>
      <c r="K122" s="4" t="s">
        <v>15</v>
      </c>
      <c r="L122" s="5" t="s">
        <v>15</v>
      </c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>
        <v>19</v>
      </c>
      <c r="B123" s="2">
        <v>210</v>
      </c>
      <c r="C123" s="133" t="s">
        <v>13</v>
      </c>
      <c r="D123" s="2">
        <v>2634</v>
      </c>
      <c r="E123" s="2" t="s">
        <v>296</v>
      </c>
      <c r="F123" s="2" t="s">
        <v>76</v>
      </c>
      <c r="G123" s="2">
        <v>1</v>
      </c>
      <c r="H123" s="3">
        <v>25</v>
      </c>
      <c r="I123" s="3">
        <v>8</v>
      </c>
      <c r="J123" s="3" t="s">
        <v>27</v>
      </c>
      <c r="K123" s="4" t="s">
        <v>15</v>
      </c>
      <c r="L123" s="5" t="s">
        <v>15</v>
      </c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ht="15" customHeight="1" x14ac:dyDescent="0.25">
      <c r="A124" s="1">
        <v>19</v>
      </c>
      <c r="B124" s="2">
        <v>606</v>
      </c>
      <c r="C124" s="133" t="s">
        <v>13</v>
      </c>
      <c r="D124" s="2">
        <v>2636</v>
      </c>
      <c r="E124" s="2" t="s">
        <v>413</v>
      </c>
      <c r="F124" s="2" t="s">
        <v>468</v>
      </c>
      <c r="G124" s="2">
        <v>2</v>
      </c>
      <c r="H124" s="3">
        <v>25</v>
      </c>
      <c r="I124" s="3">
        <v>8</v>
      </c>
      <c r="J124" s="3" t="s">
        <v>27</v>
      </c>
      <c r="K124" s="4" t="s">
        <v>15</v>
      </c>
      <c r="L124" s="5" t="s">
        <v>15</v>
      </c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>
        <v>19</v>
      </c>
      <c r="B125" s="2">
        <v>209</v>
      </c>
      <c r="C125" s="133" t="s">
        <v>13</v>
      </c>
      <c r="D125" s="2">
        <v>2635</v>
      </c>
      <c r="E125" s="2" t="s">
        <v>153</v>
      </c>
      <c r="F125" s="2" t="s">
        <v>468</v>
      </c>
      <c r="G125" s="2">
        <v>2</v>
      </c>
      <c r="H125" s="3">
        <v>25</v>
      </c>
      <c r="I125" s="3">
        <v>8</v>
      </c>
      <c r="J125" s="3" t="s">
        <v>42</v>
      </c>
      <c r="K125" s="4" t="s">
        <v>15</v>
      </c>
      <c r="L125" s="5" t="s">
        <v>15</v>
      </c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x14ac:dyDescent="0.25">
      <c r="A126" s="1">
        <v>19</v>
      </c>
      <c r="B126" s="2">
        <v>505</v>
      </c>
      <c r="C126" s="133" t="s">
        <v>13</v>
      </c>
      <c r="D126" s="2">
        <v>2629</v>
      </c>
      <c r="E126" s="2" t="s">
        <v>160</v>
      </c>
      <c r="F126" s="2" t="s">
        <v>759</v>
      </c>
      <c r="G126" s="2">
        <v>1</v>
      </c>
      <c r="H126" s="3">
        <v>25</v>
      </c>
      <c r="I126" s="3">
        <v>8</v>
      </c>
      <c r="J126" s="3" t="s">
        <v>39</v>
      </c>
      <c r="K126" s="4" t="s">
        <v>15</v>
      </c>
      <c r="L126" s="5" t="s">
        <v>15</v>
      </c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>
        <v>19</v>
      </c>
      <c r="B127" s="2" t="s">
        <v>587</v>
      </c>
      <c r="C127" s="133" t="s">
        <v>23</v>
      </c>
      <c r="D127" s="204">
        <v>174175</v>
      </c>
      <c r="E127" s="2" t="s">
        <v>252</v>
      </c>
      <c r="F127" s="2" t="s">
        <v>253</v>
      </c>
      <c r="G127" s="2">
        <v>4</v>
      </c>
      <c r="H127" s="3">
        <v>50</v>
      </c>
      <c r="I127" s="3" t="s">
        <v>34</v>
      </c>
      <c r="J127" s="3" t="s">
        <v>18</v>
      </c>
      <c r="K127" s="4" t="s">
        <v>15</v>
      </c>
      <c r="L127" s="5" t="s">
        <v>16</v>
      </c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>
        <v>19</v>
      </c>
      <c r="B128" s="2" t="s">
        <v>770</v>
      </c>
      <c r="C128" s="133" t="s">
        <v>13</v>
      </c>
      <c r="D128" s="204">
        <v>2637</v>
      </c>
      <c r="E128" s="2" t="s">
        <v>771</v>
      </c>
      <c r="F128" s="2" t="s">
        <v>772</v>
      </c>
      <c r="G128" s="2">
        <v>2</v>
      </c>
      <c r="H128" s="3">
        <v>25</v>
      </c>
      <c r="I128" s="3">
        <v>8</v>
      </c>
      <c r="J128" s="3" t="s">
        <v>14</v>
      </c>
      <c r="K128" s="4" t="s">
        <v>16</v>
      </c>
      <c r="L128" s="5" t="s">
        <v>16</v>
      </c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>
        <v>19</v>
      </c>
      <c r="B129" s="259" t="s">
        <v>346</v>
      </c>
      <c r="C129" s="133" t="s">
        <v>23</v>
      </c>
      <c r="D129" s="204">
        <v>172235</v>
      </c>
      <c r="E129" s="2" t="s">
        <v>436</v>
      </c>
      <c r="F129" s="2" t="s">
        <v>769</v>
      </c>
      <c r="G129" s="2">
        <v>2</v>
      </c>
      <c r="H129" s="3">
        <v>39</v>
      </c>
      <c r="I129" s="3" t="s">
        <v>34</v>
      </c>
      <c r="J129" s="3" t="s">
        <v>18</v>
      </c>
      <c r="K129" s="4" t="s">
        <v>15</v>
      </c>
      <c r="L129" s="5" t="s">
        <v>16</v>
      </c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>
        <v>19</v>
      </c>
      <c r="B130" s="2" t="s">
        <v>731</v>
      </c>
      <c r="C130" s="133" t="s">
        <v>13</v>
      </c>
      <c r="D130" s="2">
        <v>2606</v>
      </c>
      <c r="E130" s="2" t="s">
        <v>732</v>
      </c>
      <c r="F130" s="2" t="s">
        <v>733</v>
      </c>
      <c r="G130" s="2">
        <v>5</v>
      </c>
      <c r="H130" s="3">
        <v>55</v>
      </c>
      <c r="I130" s="3">
        <v>15</v>
      </c>
      <c r="J130" s="3" t="s">
        <v>14</v>
      </c>
      <c r="K130" s="4" t="s">
        <v>15</v>
      </c>
      <c r="L130" s="5" t="s">
        <v>15</v>
      </c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>
        <v>19</v>
      </c>
      <c r="B131" s="2" t="s">
        <v>738</v>
      </c>
      <c r="C131" s="133" t="s">
        <v>13</v>
      </c>
      <c r="D131" s="204">
        <v>2611</v>
      </c>
      <c r="E131" s="9" t="s">
        <v>171</v>
      </c>
      <c r="F131" s="2" t="s">
        <v>739</v>
      </c>
      <c r="G131" s="2">
        <v>1</v>
      </c>
      <c r="H131" s="3">
        <v>35</v>
      </c>
      <c r="I131" s="3">
        <v>10</v>
      </c>
      <c r="J131" s="3" t="s">
        <v>27</v>
      </c>
      <c r="K131" s="4" t="s">
        <v>15</v>
      </c>
      <c r="L131" s="5" t="s">
        <v>15</v>
      </c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>
        <v>19</v>
      </c>
      <c r="B132" s="2" t="s">
        <v>765</v>
      </c>
      <c r="C132" s="133" t="s">
        <v>13</v>
      </c>
      <c r="D132" s="2">
        <v>2632</v>
      </c>
      <c r="E132" s="2" t="s">
        <v>763</v>
      </c>
      <c r="F132" s="2" t="s">
        <v>764</v>
      </c>
      <c r="G132" s="2">
        <v>2</v>
      </c>
      <c r="H132" s="3">
        <v>35</v>
      </c>
      <c r="I132" s="3">
        <v>10</v>
      </c>
      <c r="J132" s="3" t="s">
        <v>14</v>
      </c>
      <c r="K132" s="4" t="s">
        <v>15</v>
      </c>
      <c r="L132" s="5" t="s">
        <v>15</v>
      </c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>
        <v>20</v>
      </c>
      <c r="B133" s="2">
        <v>401</v>
      </c>
      <c r="C133" s="133" t="s">
        <v>22</v>
      </c>
      <c r="D133" s="2" t="s">
        <v>34</v>
      </c>
      <c r="E133" s="2" t="s">
        <v>34</v>
      </c>
      <c r="F133" s="2" t="s">
        <v>715</v>
      </c>
      <c r="G133" s="2">
        <v>2</v>
      </c>
      <c r="H133" s="3">
        <v>66</v>
      </c>
      <c r="I133" s="3">
        <v>16.5</v>
      </c>
      <c r="J133" s="3" t="s">
        <v>27</v>
      </c>
      <c r="K133" s="4" t="s">
        <v>15</v>
      </c>
      <c r="L133" s="5" t="s">
        <v>15</v>
      </c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>
        <v>20</v>
      </c>
      <c r="B134" s="2">
        <v>517</v>
      </c>
      <c r="C134" s="133" t="s">
        <v>13</v>
      </c>
      <c r="D134" s="204">
        <v>2638</v>
      </c>
      <c r="E134" s="2" t="s">
        <v>228</v>
      </c>
      <c r="F134" s="2" t="s">
        <v>76</v>
      </c>
      <c r="G134" s="2">
        <v>4</v>
      </c>
      <c r="H134" s="3">
        <v>55</v>
      </c>
      <c r="I134" s="3">
        <v>15</v>
      </c>
      <c r="J134" s="3" t="s">
        <v>27</v>
      </c>
      <c r="K134" s="4" t="s">
        <v>15</v>
      </c>
      <c r="L134" s="5" t="s">
        <v>15</v>
      </c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>
        <v>20</v>
      </c>
      <c r="B135" s="2">
        <v>311</v>
      </c>
      <c r="C135" s="133" t="s">
        <v>13</v>
      </c>
      <c r="D135" s="2">
        <v>2642</v>
      </c>
      <c r="E135" s="2" t="s">
        <v>322</v>
      </c>
      <c r="F135" s="2" t="s">
        <v>76</v>
      </c>
      <c r="G135" s="2">
        <v>4</v>
      </c>
      <c r="H135" s="3">
        <v>40</v>
      </c>
      <c r="I135" s="3">
        <v>12</v>
      </c>
      <c r="J135" s="3" t="s">
        <v>27</v>
      </c>
      <c r="K135" s="4" t="s">
        <v>15</v>
      </c>
      <c r="L135" s="5" t="s">
        <v>15</v>
      </c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>
        <v>20</v>
      </c>
      <c r="B136" s="2">
        <v>530</v>
      </c>
      <c r="C136" s="133" t="s">
        <v>13</v>
      </c>
      <c r="D136" s="204">
        <v>2645</v>
      </c>
      <c r="E136" s="2" t="s">
        <v>583</v>
      </c>
      <c r="F136" s="2" t="s">
        <v>76</v>
      </c>
      <c r="G136" s="2">
        <v>2</v>
      </c>
      <c r="H136" s="3">
        <v>25</v>
      </c>
      <c r="I136" s="3">
        <v>8</v>
      </c>
      <c r="J136" s="3" t="s">
        <v>39</v>
      </c>
      <c r="K136" s="4" t="s">
        <v>15</v>
      </c>
      <c r="L136" s="5" t="s">
        <v>15</v>
      </c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>
        <v>21</v>
      </c>
      <c r="B137" s="2">
        <v>112</v>
      </c>
      <c r="C137" s="133" t="s">
        <v>13</v>
      </c>
      <c r="D137" s="2">
        <v>2641</v>
      </c>
      <c r="E137" s="2" t="s">
        <v>562</v>
      </c>
      <c r="F137" s="2" t="s">
        <v>76</v>
      </c>
      <c r="G137" s="2">
        <v>1</v>
      </c>
      <c r="H137" s="3">
        <v>25</v>
      </c>
      <c r="I137" s="3">
        <v>8</v>
      </c>
      <c r="J137" s="3" t="s">
        <v>27</v>
      </c>
      <c r="K137" s="4" t="s">
        <v>15</v>
      </c>
      <c r="L137" s="5" t="s">
        <v>15</v>
      </c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>
        <v>21</v>
      </c>
      <c r="B138" s="2">
        <v>310</v>
      </c>
      <c r="C138" s="133" t="s">
        <v>13</v>
      </c>
      <c r="D138" s="2">
        <v>2643</v>
      </c>
      <c r="E138" s="2" t="s">
        <v>296</v>
      </c>
      <c r="F138" s="2" t="s">
        <v>76</v>
      </c>
      <c r="G138" s="2">
        <v>2</v>
      </c>
      <c r="H138" s="3">
        <v>25</v>
      </c>
      <c r="I138" s="3">
        <v>8</v>
      </c>
      <c r="J138" s="3" t="s">
        <v>27</v>
      </c>
      <c r="K138" s="4" t="s">
        <v>15</v>
      </c>
      <c r="L138" s="5" t="s">
        <v>15</v>
      </c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>
        <v>21</v>
      </c>
      <c r="B139" s="2" t="s">
        <v>349</v>
      </c>
      <c r="C139" s="133" t="s">
        <v>23</v>
      </c>
      <c r="D139" s="204">
        <v>171326</v>
      </c>
      <c r="E139" s="2" t="s">
        <v>242</v>
      </c>
      <c r="F139" s="2" t="s">
        <v>350</v>
      </c>
      <c r="G139" s="2">
        <v>2</v>
      </c>
      <c r="H139" s="3">
        <v>39</v>
      </c>
      <c r="I139" s="3" t="s">
        <v>34</v>
      </c>
      <c r="J139" s="3" t="s">
        <v>18</v>
      </c>
      <c r="K139" s="4" t="s">
        <v>16</v>
      </c>
      <c r="L139" s="5" t="s">
        <v>16</v>
      </c>
      <c r="M139" s="144"/>
      <c r="N139" s="143" t="s">
        <v>776</v>
      </c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>
        <v>21</v>
      </c>
      <c r="B140" s="2" t="s">
        <v>347</v>
      </c>
      <c r="C140" s="133" t="s">
        <v>13</v>
      </c>
      <c r="D140" s="204">
        <v>640</v>
      </c>
      <c r="E140" s="2" t="s">
        <v>261</v>
      </c>
      <c r="F140" s="2" t="s">
        <v>348</v>
      </c>
      <c r="G140" s="2">
        <v>2</v>
      </c>
      <c r="H140" s="3">
        <v>35</v>
      </c>
      <c r="I140" s="3">
        <v>10</v>
      </c>
      <c r="J140" s="3" t="s">
        <v>19</v>
      </c>
      <c r="K140" s="4" t="s">
        <v>15</v>
      </c>
      <c r="L140" s="5" t="s">
        <v>15</v>
      </c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>
        <v>21</v>
      </c>
      <c r="B141" s="2">
        <v>514</v>
      </c>
      <c r="C141" s="133" t="s">
        <v>13</v>
      </c>
      <c r="D141" s="204">
        <v>2647</v>
      </c>
      <c r="E141" s="2" t="s">
        <v>109</v>
      </c>
      <c r="F141" s="2" t="s">
        <v>76</v>
      </c>
      <c r="G141" s="2">
        <v>2</v>
      </c>
      <c r="H141" s="3">
        <v>25</v>
      </c>
      <c r="I141" s="3">
        <v>8</v>
      </c>
      <c r="J141" s="3" t="s">
        <v>39</v>
      </c>
      <c r="K141" s="4" t="s">
        <v>15</v>
      </c>
      <c r="L141" s="5" t="s">
        <v>15</v>
      </c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249">
        <v>21</v>
      </c>
      <c r="B142" s="250">
        <v>401</v>
      </c>
      <c r="C142" s="251" t="s">
        <v>13</v>
      </c>
      <c r="D142" s="250">
        <v>2640</v>
      </c>
      <c r="E142" s="250" t="s">
        <v>322</v>
      </c>
      <c r="F142" s="250" t="s">
        <v>775</v>
      </c>
      <c r="G142" s="250">
        <v>2</v>
      </c>
      <c r="H142" s="252">
        <v>25</v>
      </c>
      <c r="I142" s="252">
        <v>8</v>
      </c>
      <c r="J142" s="252" t="s">
        <v>27</v>
      </c>
      <c r="K142" s="253" t="s">
        <v>16</v>
      </c>
      <c r="L142" s="254" t="s">
        <v>16</v>
      </c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>
        <v>22</v>
      </c>
      <c r="B143" s="2">
        <v>321</v>
      </c>
      <c r="C143" s="133" t="s">
        <v>22</v>
      </c>
      <c r="D143" s="204">
        <v>175148</v>
      </c>
      <c r="E143" s="2" t="s">
        <v>34</v>
      </c>
      <c r="F143" s="2" t="s">
        <v>194</v>
      </c>
      <c r="G143" s="2">
        <v>1</v>
      </c>
      <c r="H143" s="3">
        <v>36</v>
      </c>
      <c r="I143" s="3">
        <v>9</v>
      </c>
      <c r="J143" s="3" t="s">
        <v>26</v>
      </c>
      <c r="K143" s="4" t="s">
        <v>15</v>
      </c>
      <c r="L143" s="5" t="s">
        <v>15</v>
      </c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>
        <v>22</v>
      </c>
      <c r="B144" s="2">
        <v>202</v>
      </c>
      <c r="C144" s="133" t="s">
        <v>22</v>
      </c>
      <c r="D144" s="2">
        <v>149583</v>
      </c>
      <c r="E144" s="2" t="s">
        <v>34</v>
      </c>
      <c r="F144" s="2" t="s">
        <v>100</v>
      </c>
      <c r="G144" s="2">
        <v>1</v>
      </c>
      <c r="H144" s="3">
        <v>33</v>
      </c>
      <c r="I144" s="3">
        <v>8.25</v>
      </c>
      <c r="J144" s="3" t="s">
        <v>26</v>
      </c>
      <c r="K144" s="4" t="s">
        <v>15</v>
      </c>
      <c r="L144" s="5" t="s">
        <v>15</v>
      </c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>
        <v>22</v>
      </c>
      <c r="B145" s="2" t="s">
        <v>588</v>
      </c>
      <c r="C145" s="133" t="s">
        <v>23</v>
      </c>
      <c r="D145" s="231">
        <v>173851</v>
      </c>
      <c r="E145" s="2" t="s">
        <v>698</v>
      </c>
      <c r="F145" s="2" t="s">
        <v>76</v>
      </c>
      <c r="G145" s="2">
        <v>2</v>
      </c>
      <c r="H145" s="3">
        <v>22</v>
      </c>
      <c r="I145" s="3" t="s">
        <v>34</v>
      </c>
      <c r="J145" s="3" t="s">
        <v>18</v>
      </c>
      <c r="K145" s="4" t="s">
        <v>15</v>
      </c>
      <c r="L145" s="5" t="s">
        <v>16</v>
      </c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>
        <v>22</v>
      </c>
      <c r="B146" s="2">
        <v>310</v>
      </c>
      <c r="C146" s="133" t="s">
        <v>17</v>
      </c>
      <c r="D146" s="2">
        <v>3269</v>
      </c>
      <c r="E146" s="2" t="s">
        <v>96</v>
      </c>
      <c r="F146" s="2" t="s">
        <v>340</v>
      </c>
      <c r="G146" s="2">
        <v>2</v>
      </c>
      <c r="H146" s="3">
        <v>138</v>
      </c>
      <c r="I146" s="3">
        <v>41.4</v>
      </c>
      <c r="J146" s="3" t="s">
        <v>27</v>
      </c>
      <c r="K146" s="4" t="s">
        <v>15</v>
      </c>
      <c r="L146" s="5" t="s">
        <v>15</v>
      </c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>
        <v>22</v>
      </c>
      <c r="B147" s="2">
        <v>416</v>
      </c>
      <c r="C147" s="133" t="s">
        <v>13</v>
      </c>
      <c r="D147" s="2">
        <v>2650</v>
      </c>
      <c r="E147" s="2" t="s">
        <v>94</v>
      </c>
      <c r="F147" s="2" t="s">
        <v>779</v>
      </c>
      <c r="G147" s="2">
        <v>2</v>
      </c>
      <c r="H147" s="3">
        <v>25</v>
      </c>
      <c r="I147" s="3">
        <v>8</v>
      </c>
      <c r="J147" s="3" t="s">
        <v>26</v>
      </c>
      <c r="K147" s="4" t="s">
        <v>15</v>
      </c>
      <c r="L147" s="5" t="s">
        <v>15</v>
      </c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>
        <v>22</v>
      </c>
      <c r="B148" s="2" t="s">
        <v>738</v>
      </c>
      <c r="C148" s="133" t="s">
        <v>13</v>
      </c>
      <c r="D148" s="2">
        <v>2612</v>
      </c>
      <c r="E148" s="2" t="s">
        <v>778</v>
      </c>
      <c r="F148" s="2" t="s">
        <v>76</v>
      </c>
      <c r="G148" s="2">
        <v>1</v>
      </c>
      <c r="H148" s="3">
        <v>25</v>
      </c>
      <c r="I148" s="3">
        <v>8</v>
      </c>
      <c r="J148" s="3" t="s">
        <v>27</v>
      </c>
      <c r="K148" s="4" t="s">
        <v>15</v>
      </c>
      <c r="L148" s="5" t="s">
        <v>15</v>
      </c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>
        <v>23</v>
      </c>
      <c r="B149" s="2">
        <v>328</v>
      </c>
      <c r="C149" s="133" t="s">
        <v>13</v>
      </c>
      <c r="D149" s="2">
        <v>2552</v>
      </c>
      <c r="E149" s="2" t="s">
        <v>740</v>
      </c>
      <c r="F149" s="2" t="s">
        <v>779</v>
      </c>
      <c r="G149" s="2">
        <v>2</v>
      </c>
      <c r="H149" s="3">
        <v>25</v>
      </c>
      <c r="I149" s="3">
        <v>8</v>
      </c>
      <c r="J149" s="3" t="s">
        <v>39</v>
      </c>
      <c r="K149" s="4" t="s">
        <v>15</v>
      </c>
      <c r="L149" s="5" t="s">
        <v>15</v>
      </c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>
        <v>23</v>
      </c>
      <c r="B150" s="2" t="s">
        <v>352</v>
      </c>
      <c r="C150" s="133" t="s">
        <v>23</v>
      </c>
      <c r="D150" s="204">
        <v>171682</v>
      </c>
      <c r="E150" s="2" t="s">
        <v>126</v>
      </c>
      <c r="F150" s="2" t="s">
        <v>76</v>
      </c>
      <c r="G150" s="2">
        <v>2</v>
      </c>
      <c r="H150" s="3">
        <v>22</v>
      </c>
      <c r="I150" s="3" t="s">
        <v>34</v>
      </c>
      <c r="J150" s="3" t="s">
        <v>18</v>
      </c>
      <c r="K150" s="4" t="s">
        <v>15</v>
      </c>
      <c r="L150" s="5" t="s">
        <v>16</v>
      </c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>
        <v>23</v>
      </c>
      <c r="B151" s="2" t="s">
        <v>731</v>
      </c>
      <c r="C151" s="133" t="s">
        <v>13</v>
      </c>
      <c r="D151" s="204">
        <v>2607</v>
      </c>
      <c r="E151" s="2" t="s">
        <v>781</v>
      </c>
      <c r="F151" s="2" t="s">
        <v>46</v>
      </c>
      <c r="G151" s="2">
        <v>4</v>
      </c>
      <c r="H151" s="3">
        <v>40</v>
      </c>
      <c r="I151" s="3">
        <v>12</v>
      </c>
      <c r="J151" s="3" t="s">
        <v>14</v>
      </c>
      <c r="K151" s="4" t="s">
        <v>15</v>
      </c>
      <c r="L151" s="5" t="s">
        <v>15</v>
      </c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>
        <v>23</v>
      </c>
      <c r="B152" s="2" t="s">
        <v>786</v>
      </c>
      <c r="C152" s="133" t="s">
        <v>13</v>
      </c>
      <c r="D152" s="204">
        <v>498</v>
      </c>
      <c r="E152" s="2" t="s">
        <v>275</v>
      </c>
      <c r="F152" s="2" t="s">
        <v>351</v>
      </c>
      <c r="G152" s="2">
        <v>2</v>
      </c>
      <c r="H152" s="3">
        <v>35</v>
      </c>
      <c r="I152" s="3">
        <v>10</v>
      </c>
      <c r="J152" s="3" t="s">
        <v>27</v>
      </c>
      <c r="K152" s="4" t="s">
        <v>15</v>
      </c>
      <c r="L152" s="5" t="s">
        <v>15</v>
      </c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>
        <v>23</v>
      </c>
      <c r="B153" s="2" t="s">
        <v>782</v>
      </c>
      <c r="C153" s="133" t="s">
        <v>13</v>
      </c>
      <c r="D153" s="2">
        <v>2555</v>
      </c>
      <c r="E153" s="2" t="s">
        <v>137</v>
      </c>
      <c r="F153" s="2" t="s">
        <v>240</v>
      </c>
      <c r="G153" s="2">
        <v>1</v>
      </c>
      <c r="H153" s="3">
        <v>35</v>
      </c>
      <c r="I153" s="3">
        <v>10</v>
      </c>
      <c r="J153" s="3" t="s">
        <v>26</v>
      </c>
      <c r="K153" s="4" t="s">
        <v>15</v>
      </c>
      <c r="L153" s="5" t="s">
        <v>15</v>
      </c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>
        <v>24</v>
      </c>
      <c r="B154" s="2">
        <v>103</v>
      </c>
      <c r="C154" s="133" t="s">
        <v>22</v>
      </c>
      <c r="D154" s="2">
        <v>171954</v>
      </c>
      <c r="E154" s="2" t="s">
        <v>34</v>
      </c>
      <c r="F154" s="2" t="s">
        <v>194</v>
      </c>
      <c r="G154" s="2">
        <v>2</v>
      </c>
      <c r="H154" s="3">
        <v>72</v>
      </c>
      <c r="I154" s="3">
        <v>18</v>
      </c>
      <c r="J154" s="3" t="s">
        <v>26</v>
      </c>
      <c r="K154" s="4" t="s">
        <v>15</v>
      </c>
      <c r="L154" s="5" t="s">
        <v>15</v>
      </c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>
        <v>24</v>
      </c>
      <c r="B155" s="2">
        <v>507</v>
      </c>
      <c r="C155" s="133" t="s">
        <v>13</v>
      </c>
      <c r="D155" s="204">
        <v>2553</v>
      </c>
      <c r="E155" s="9" t="s">
        <v>780</v>
      </c>
      <c r="F155" s="2" t="s">
        <v>779</v>
      </c>
      <c r="G155" s="2">
        <v>2</v>
      </c>
      <c r="H155" s="3">
        <v>25</v>
      </c>
      <c r="I155" s="3">
        <v>8</v>
      </c>
      <c r="J155" s="3" t="s">
        <v>39</v>
      </c>
      <c r="K155" s="4" t="s">
        <v>15</v>
      </c>
      <c r="L155" s="5" t="s">
        <v>15</v>
      </c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>
        <v>24</v>
      </c>
      <c r="B156" s="2">
        <v>321</v>
      </c>
      <c r="C156" s="133" t="s">
        <v>13</v>
      </c>
      <c r="D156" s="2">
        <v>2554</v>
      </c>
      <c r="E156" s="2" t="s">
        <v>416</v>
      </c>
      <c r="F156" s="2" t="s">
        <v>76</v>
      </c>
      <c r="G156" s="2">
        <v>1</v>
      </c>
      <c r="H156" s="3">
        <v>25</v>
      </c>
      <c r="I156" s="3">
        <v>8</v>
      </c>
      <c r="J156" s="3" t="s">
        <v>26</v>
      </c>
      <c r="K156" s="4" t="s">
        <v>15</v>
      </c>
      <c r="L156" s="5" t="s">
        <v>15</v>
      </c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>
        <v>24</v>
      </c>
      <c r="B157" s="2" t="s">
        <v>318</v>
      </c>
      <c r="C157" s="133" t="s">
        <v>13</v>
      </c>
      <c r="D157" s="204">
        <v>2129</v>
      </c>
      <c r="E157" s="9" t="s">
        <v>127</v>
      </c>
      <c r="F157" s="2" t="s">
        <v>76</v>
      </c>
      <c r="G157" s="2">
        <v>2</v>
      </c>
      <c r="H157" s="3">
        <v>25</v>
      </c>
      <c r="I157" s="3">
        <v>8</v>
      </c>
      <c r="J157" s="3" t="s">
        <v>18</v>
      </c>
      <c r="K157" s="4" t="s">
        <v>15</v>
      </c>
      <c r="L157" s="5" t="s">
        <v>15</v>
      </c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>
        <v>24</v>
      </c>
      <c r="B158" s="2" t="s">
        <v>353</v>
      </c>
      <c r="C158" s="133" t="s">
        <v>23</v>
      </c>
      <c r="D158" s="204">
        <v>169608</v>
      </c>
      <c r="E158" s="2" t="s">
        <v>354</v>
      </c>
      <c r="F158" s="2" t="s">
        <v>355</v>
      </c>
      <c r="G158" s="2">
        <v>2</v>
      </c>
      <c r="H158" s="3">
        <v>39</v>
      </c>
      <c r="I158" s="3" t="s">
        <v>34</v>
      </c>
      <c r="J158" s="3" t="s">
        <v>14</v>
      </c>
      <c r="K158" s="4" t="s">
        <v>15</v>
      </c>
      <c r="L158" s="5" t="s">
        <v>16</v>
      </c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>
        <v>24</v>
      </c>
      <c r="B159" s="2">
        <v>116</v>
      </c>
      <c r="C159" s="133" t="s">
        <v>13</v>
      </c>
      <c r="D159" s="204">
        <v>2556</v>
      </c>
      <c r="E159" s="2" t="s">
        <v>788</v>
      </c>
      <c r="F159" s="2" t="s">
        <v>76</v>
      </c>
      <c r="G159" s="2">
        <v>5</v>
      </c>
      <c r="H159" s="3">
        <v>55</v>
      </c>
      <c r="I159" s="3">
        <v>15</v>
      </c>
      <c r="J159" s="3" t="s">
        <v>26</v>
      </c>
      <c r="K159" s="4" t="s">
        <v>15</v>
      </c>
      <c r="L159" s="5" t="s">
        <v>15</v>
      </c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>
        <v>24</v>
      </c>
      <c r="B160" s="2" t="s">
        <v>774</v>
      </c>
      <c r="C160" s="133" t="s">
        <v>13</v>
      </c>
      <c r="D160" s="204">
        <v>2639</v>
      </c>
      <c r="E160" s="9" t="s">
        <v>773</v>
      </c>
      <c r="F160" s="2" t="s">
        <v>46</v>
      </c>
      <c r="G160" s="2">
        <v>1</v>
      </c>
      <c r="H160" s="3">
        <v>25</v>
      </c>
      <c r="I160" s="3">
        <v>8</v>
      </c>
      <c r="J160" s="3" t="s">
        <v>33</v>
      </c>
      <c r="K160" s="4" t="s">
        <v>15</v>
      </c>
      <c r="L160" s="5" t="s">
        <v>15</v>
      </c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>
        <v>24</v>
      </c>
      <c r="B161" s="2" t="s">
        <v>756</v>
      </c>
      <c r="C161" s="133" t="s">
        <v>13</v>
      </c>
      <c r="D161" s="204">
        <v>2627</v>
      </c>
      <c r="E161" s="2" t="s">
        <v>462</v>
      </c>
      <c r="F161" s="2" t="s">
        <v>757</v>
      </c>
      <c r="G161" s="2">
        <v>1</v>
      </c>
      <c r="H161" s="3">
        <v>35</v>
      </c>
      <c r="I161" s="3">
        <v>10</v>
      </c>
      <c r="J161" s="3" t="s">
        <v>27</v>
      </c>
      <c r="K161" s="4" t="s">
        <v>15</v>
      </c>
      <c r="L161" s="5" t="s">
        <v>15</v>
      </c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>
        <v>24</v>
      </c>
      <c r="B162" s="2" t="s">
        <v>695</v>
      </c>
      <c r="C162" s="133" t="s">
        <v>13</v>
      </c>
      <c r="D162" s="237">
        <v>1585</v>
      </c>
      <c r="E162" s="2" t="s">
        <v>696</v>
      </c>
      <c r="F162" s="2" t="s">
        <v>697</v>
      </c>
      <c r="G162" s="2">
        <v>1</v>
      </c>
      <c r="H162" s="3">
        <v>35</v>
      </c>
      <c r="I162" s="3">
        <v>10</v>
      </c>
      <c r="J162" s="3" t="s">
        <v>14</v>
      </c>
      <c r="K162" s="4" t="s">
        <v>15</v>
      </c>
      <c r="L162" s="5" t="s">
        <v>15</v>
      </c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>
        <v>25</v>
      </c>
      <c r="B163" s="2" t="s">
        <v>718</v>
      </c>
      <c r="C163" s="133" t="s">
        <v>13</v>
      </c>
      <c r="D163" s="204">
        <v>1595</v>
      </c>
      <c r="E163" s="2" t="s">
        <v>717</v>
      </c>
      <c r="F163" s="2" t="s">
        <v>719</v>
      </c>
      <c r="G163" s="2">
        <v>2</v>
      </c>
      <c r="H163" s="3">
        <v>70</v>
      </c>
      <c r="I163" s="3">
        <v>20</v>
      </c>
      <c r="J163" s="3" t="s">
        <v>39</v>
      </c>
      <c r="K163" s="4" t="s">
        <v>15</v>
      </c>
      <c r="L163" s="5" t="s">
        <v>15</v>
      </c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>
        <v>25</v>
      </c>
      <c r="B164" s="2" t="s">
        <v>790</v>
      </c>
      <c r="C164" s="133" t="s">
        <v>13</v>
      </c>
      <c r="D164" s="204">
        <v>2559</v>
      </c>
      <c r="E164" s="9" t="s">
        <v>791</v>
      </c>
      <c r="F164" s="2" t="s">
        <v>792</v>
      </c>
      <c r="G164" s="2">
        <v>4</v>
      </c>
      <c r="H164" s="3">
        <v>45</v>
      </c>
      <c r="I164" s="3">
        <v>12</v>
      </c>
      <c r="J164" s="3" t="s">
        <v>27</v>
      </c>
      <c r="K164" s="4" t="s">
        <v>15</v>
      </c>
      <c r="L164" s="5" t="s">
        <v>15</v>
      </c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>
        <v>26</v>
      </c>
      <c r="B165" s="2">
        <v>222</v>
      </c>
      <c r="C165" s="133" t="s">
        <v>13</v>
      </c>
      <c r="D165" s="2">
        <v>2560</v>
      </c>
      <c r="E165" s="2" t="s">
        <v>416</v>
      </c>
      <c r="F165" s="2" t="s">
        <v>794</v>
      </c>
      <c r="G165" s="2">
        <v>2</v>
      </c>
      <c r="H165" s="3">
        <v>25</v>
      </c>
      <c r="I165" s="3">
        <v>8</v>
      </c>
      <c r="J165" s="3" t="s">
        <v>14</v>
      </c>
      <c r="K165" s="4" t="s">
        <v>15</v>
      </c>
      <c r="L165" s="5" t="s">
        <v>15</v>
      </c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>
        <v>26</v>
      </c>
      <c r="B166" s="2">
        <v>311</v>
      </c>
      <c r="C166" s="133" t="s">
        <v>13</v>
      </c>
      <c r="D166" s="2">
        <v>2558</v>
      </c>
      <c r="E166" s="2" t="s">
        <v>153</v>
      </c>
      <c r="F166" s="2" t="s">
        <v>76</v>
      </c>
      <c r="G166" s="2">
        <v>2</v>
      </c>
      <c r="H166" s="3">
        <v>25</v>
      </c>
      <c r="I166" s="3">
        <v>8</v>
      </c>
      <c r="J166" s="3" t="s">
        <v>27</v>
      </c>
      <c r="K166" s="4" t="s">
        <v>15</v>
      </c>
      <c r="L166" s="5" t="s">
        <v>15</v>
      </c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>
        <v>26</v>
      </c>
      <c r="B167" s="2">
        <v>106</v>
      </c>
      <c r="C167" s="133" t="s">
        <v>13</v>
      </c>
      <c r="D167" s="2">
        <v>2561</v>
      </c>
      <c r="E167" s="2" t="s">
        <v>201</v>
      </c>
      <c r="F167" s="2" t="s">
        <v>46</v>
      </c>
      <c r="G167" s="2">
        <v>2</v>
      </c>
      <c r="H167" s="3">
        <v>25</v>
      </c>
      <c r="I167" s="3">
        <v>8</v>
      </c>
      <c r="J167" s="3" t="s">
        <v>39</v>
      </c>
      <c r="K167" s="4" t="s">
        <v>15</v>
      </c>
      <c r="L167" s="5" t="s">
        <v>15</v>
      </c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>
        <v>27</v>
      </c>
      <c r="B168" s="165">
        <v>402</v>
      </c>
      <c r="C168" s="133" t="s">
        <v>13</v>
      </c>
      <c r="D168" s="204">
        <v>2563</v>
      </c>
      <c r="E168" s="2" t="s">
        <v>124</v>
      </c>
      <c r="F168" s="2" t="s">
        <v>76</v>
      </c>
      <c r="G168" s="2">
        <v>2</v>
      </c>
      <c r="H168" s="3">
        <v>25</v>
      </c>
      <c r="I168" s="3">
        <v>8</v>
      </c>
      <c r="J168" s="3" t="s">
        <v>39</v>
      </c>
      <c r="K168" s="4" t="s">
        <v>15</v>
      </c>
      <c r="L168" s="5" t="s">
        <v>15</v>
      </c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>
        <v>27</v>
      </c>
      <c r="B169" s="2" t="s">
        <v>688</v>
      </c>
      <c r="C169" s="133" t="s">
        <v>13</v>
      </c>
      <c r="D169" s="204">
        <v>1581</v>
      </c>
      <c r="E169" s="2" t="s">
        <v>153</v>
      </c>
      <c r="F169" s="2" t="s">
        <v>76</v>
      </c>
      <c r="G169" s="2">
        <v>2</v>
      </c>
      <c r="H169" s="3">
        <v>25</v>
      </c>
      <c r="I169" s="3">
        <v>8</v>
      </c>
      <c r="J169" s="3" t="s">
        <v>27</v>
      </c>
      <c r="K169" s="4" t="s">
        <v>15</v>
      </c>
      <c r="L169" s="5" t="s">
        <v>15</v>
      </c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>
        <v>27</v>
      </c>
      <c r="B170" s="2">
        <v>307</v>
      </c>
      <c r="C170" s="133" t="s">
        <v>13</v>
      </c>
      <c r="D170" s="2">
        <v>2557</v>
      </c>
      <c r="E170" s="2" t="s">
        <v>242</v>
      </c>
      <c r="F170" s="2" t="s">
        <v>789</v>
      </c>
      <c r="G170" s="2">
        <v>1</v>
      </c>
      <c r="H170" s="3">
        <v>190</v>
      </c>
      <c r="I170" s="3">
        <v>47.5</v>
      </c>
      <c r="J170" s="3" t="s">
        <v>26</v>
      </c>
      <c r="K170" s="4" t="s">
        <v>15</v>
      </c>
      <c r="L170" s="5" t="s">
        <v>15</v>
      </c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>
        <v>27</v>
      </c>
      <c r="B171" s="2" t="s">
        <v>785</v>
      </c>
      <c r="C171" s="133" t="s">
        <v>17</v>
      </c>
      <c r="D171" s="204">
        <v>3268</v>
      </c>
      <c r="E171" s="2" t="s">
        <v>96</v>
      </c>
      <c r="F171" s="2" t="s">
        <v>340</v>
      </c>
      <c r="G171" s="2">
        <v>2</v>
      </c>
      <c r="H171" s="3">
        <v>138</v>
      </c>
      <c r="I171" s="3">
        <v>41.4</v>
      </c>
      <c r="J171" s="3" t="s">
        <v>27</v>
      </c>
      <c r="K171" s="4" t="s">
        <v>15</v>
      </c>
      <c r="L171" s="5" t="s">
        <v>16</v>
      </c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>
        <v>27</v>
      </c>
      <c r="B172" s="2" t="s">
        <v>783</v>
      </c>
      <c r="C172" s="133" t="s">
        <v>23</v>
      </c>
      <c r="D172" s="204">
        <v>170327</v>
      </c>
      <c r="E172" s="2" t="s">
        <v>430</v>
      </c>
      <c r="F172" s="2" t="s">
        <v>76</v>
      </c>
      <c r="G172" s="2">
        <v>2</v>
      </c>
      <c r="H172" s="3">
        <v>22</v>
      </c>
      <c r="I172" s="3" t="s">
        <v>34</v>
      </c>
      <c r="J172" s="3" t="s">
        <v>18</v>
      </c>
      <c r="K172" s="4" t="s">
        <v>15</v>
      </c>
      <c r="L172" s="5" t="s">
        <v>16</v>
      </c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>
        <v>28</v>
      </c>
      <c r="B173" s="2">
        <v>606</v>
      </c>
      <c r="C173" s="133" t="s">
        <v>22</v>
      </c>
      <c r="D173" s="2">
        <v>170571</v>
      </c>
      <c r="E173" s="2" t="s">
        <v>34</v>
      </c>
      <c r="F173" s="2" t="s">
        <v>470</v>
      </c>
      <c r="G173" s="2">
        <v>2</v>
      </c>
      <c r="H173" s="3">
        <v>72</v>
      </c>
      <c r="I173" s="3">
        <v>18</v>
      </c>
      <c r="J173" s="3" t="s">
        <v>14</v>
      </c>
      <c r="K173" s="4" t="s">
        <v>15</v>
      </c>
      <c r="L173" s="5" t="s">
        <v>15</v>
      </c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>
        <v>28</v>
      </c>
      <c r="B174" s="2" t="s">
        <v>800</v>
      </c>
      <c r="C174" s="133" t="s">
        <v>13</v>
      </c>
      <c r="D174" s="204">
        <v>173952</v>
      </c>
      <c r="E174" s="2" t="s">
        <v>799</v>
      </c>
      <c r="F174" s="2" t="s">
        <v>779</v>
      </c>
      <c r="G174" s="2">
        <v>2</v>
      </c>
      <c r="H174" s="3">
        <v>25</v>
      </c>
      <c r="I174" s="3">
        <v>8</v>
      </c>
      <c r="J174" s="3" t="s">
        <v>42</v>
      </c>
      <c r="K174" s="4" t="s">
        <v>15</v>
      </c>
      <c r="L174" s="5" t="s">
        <v>15</v>
      </c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>
        <v>28</v>
      </c>
      <c r="B175" s="2">
        <v>223</v>
      </c>
      <c r="C175" s="133" t="s">
        <v>17</v>
      </c>
      <c r="D175" s="204">
        <v>3270</v>
      </c>
      <c r="E175" s="2" t="s">
        <v>96</v>
      </c>
      <c r="F175" s="2" t="s">
        <v>340</v>
      </c>
      <c r="G175" s="2">
        <v>2</v>
      </c>
      <c r="H175" s="3">
        <v>138</v>
      </c>
      <c r="I175" s="3">
        <v>41.4</v>
      </c>
      <c r="J175" s="3" t="s">
        <v>27</v>
      </c>
      <c r="K175" s="4" t="s">
        <v>15</v>
      </c>
      <c r="L175" s="5" t="s">
        <v>16</v>
      </c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>
        <v>28</v>
      </c>
      <c r="B176" s="2">
        <v>413</v>
      </c>
      <c r="C176" s="133" t="s">
        <v>13</v>
      </c>
      <c r="D176" s="2">
        <v>173446</v>
      </c>
      <c r="E176" s="2" t="s">
        <v>107</v>
      </c>
      <c r="F176" s="2" t="s">
        <v>779</v>
      </c>
      <c r="G176" s="2">
        <v>3</v>
      </c>
      <c r="H176" s="3">
        <v>40</v>
      </c>
      <c r="I176" s="3">
        <v>12</v>
      </c>
      <c r="J176" s="3" t="s">
        <v>39</v>
      </c>
      <c r="K176" s="4" t="s">
        <v>15</v>
      </c>
      <c r="L176" s="5" t="s">
        <v>15</v>
      </c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>
        <v>28</v>
      </c>
      <c r="B177" s="2" t="s">
        <v>801</v>
      </c>
      <c r="C177" s="133" t="s">
        <v>13</v>
      </c>
      <c r="D177" s="204">
        <v>174270</v>
      </c>
      <c r="E177" s="2" t="s">
        <v>160</v>
      </c>
      <c r="F177" s="2" t="s">
        <v>779</v>
      </c>
      <c r="G177" s="2">
        <v>2</v>
      </c>
      <c r="H177" s="3">
        <v>25</v>
      </c>
      <c r="I177" s="3">
        <v>8</v>
      </c>
      <c r="J177" s="3" t="s">
        <v>42</v>
      </c>
      <c r="K177" s="4" t="s">
        <v>15</v>
      </c>
      <c r="L177" s="5" t="s">
        <v>15</v>
      </c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>
        <v>28</v>
      </c>
      <c r="B178" s="2" t="s">
        <v>356</v>
      </c>
      <c r="C178" s="133" t="s">
        <v>23</v>
      </c>
      <c r="D178" s="204">
        <v>171802</v>
      </c>
      <c r="E178" s="2" t="s">
        <v>357</v>
      </c>
      <c r="F178" s="2" t="s">
        <v>358</v>
      </c>
      <c r="G178" s="2">
        <v>2</v>
      </c>
      <c r="H178" s="3">
        <v>39</v>
      </c>
      <c r="I178" s="3" t="s">
        <v>34</v>
      </c>
      <c r="J178" s="3" t="s">
        <v>27</v>
      </c>
      <c r="K178" s="4" t="s">
        <v>15</v>
      </c>
      <c r="L178" s="5" t="s">
        <v>16</v>
      </c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>
        <v>28</v>
      </c>
      <c r="B179" s="2" t="s">
        <v>649</v>
      </c>
      <c r="C179" s="133" t="s">
        <v>13</v>
      </c>
      <c r="D179" s="2">
        <v>2568</v>
      </c>
      <c r="E179" s="2" t="s">
        <v>804</v>
      </c>
      <c r="F179" s="2" t="s">
        <v>46</v>
      </c>
      <c r="G179" s="2">
        <v>4</v>
      </c>
      <c r="H179" s="3">
        <v>40</v>
      </c>
      <c r="I179" s="3">
        <v>12</v>
      </c>
      <c r="J179" s="3" t="s">
        <v>14</v>
      </c>
      <c r="K179" s="4" t="s">
        <v>15</v>
      </c>
      <c r="L179" s="5" t="s">
        <v>15</v>
      </c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>
        <v>29</v>
      </c>
      <c r="B180" s="2" t="s">
        <v>798</v>
      </c>
      <c r="C180" s="133" t="s">
        <v>13</v>
      </c>
      <c r="D180" s="204">
        <v>2562</v>
      </c>
      <c r="E180" s="2" t="s">
        <v>605</v>
      </c>
      <c r="F180" s="2" t="s">
        <v>76</v>
      </c>
      <c r="G180" s="2">
        <v>2</v>
      </c>
      <c r="H180" s="3">
        <v>25</v>
      </c>
      <c r="I180" s="3">
        <v>8</v>
      </c>
      <c r="J180" s="3" t="s">
        <v>42</v>
      </c>
      <c r="K180" s="4" t="s">
        <v>15</v>
      </c>
      <c r="L180" s="5" t="s">
        <v>15</v>
      </c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>
        <v>29</v>
      </c>
      <c r="B181" s="2">
        <v>409</v>
      </c>
      <c r="C181" s="133" t="s">
        <v>13</v>
      </c>
      <c r="D181" s="204">
        <v>2567</v>
      </c>
      <c r="E181" s="2" t="s">
        <v>192</v>
      </c>
      <c r="F181" s="2" t="s">
        <v>802</v>
      </c>
      <c r="G181" s="2">
        <v>3</v>
      </c>
      <c r="H181" s="3">
        <v>25</v>
      </c>
      <c r="I181" s="3">
        <v>8</v>
      </c>
      <c r="J181" s="3" t="s">
        <v>39</v>
      </c>
      <c r="K181" s="4" t="s">
        <v>15</v>
      </c>
      <c r="L181" s="5" t="s">
        <v>15</v>
      </c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>
        <v>29</v>
      </c>
      <c r="B182" s="2" t="s">
        <v>807</v>
      </c>
      <c r="C182" s="133" t="s">
        <v>13</v>
      </c>
      <c r="D182" s="204">
        <v>2570</v>
      </c>
      <c r="E182" s="9" t="s">
        <v>460</v>
      </c>
      <c r="F182" s="2" t="s">
        <v>779</v>
      </c>
      <c r="G182" s="2">
        <v>2</v>
      </c>
      <c r="H182" s="3">
        <v>25</v>
      </c>
      <c r="I182" s="3">
        <v>8</v>
      </c>
      <c r="J182" s="3" t="s">
        <v>42</v>
      </c>
      <c r="K182" s="4" t="s">
        <v>15</v>
      </c>
      <c r="L182" s="5" t="s">
        <v>15</v>
      </c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>
        <v>29</v>
      </c>
      <c r="B183" s="2" t="s">
        <v>808</v>
      </c>
      <c r="C183" s="133" t="s">
        <v>13</v>
      </c>
      <c r="D183" s="204">
        <v>2571</v>
      </c>
      <c r="E183" s="2" t="s">
        <v>242</v>
      </c>
      <c r="F183" s="2" t="s">
        <v>779</v>
      </c>
      <c r="G183" s="2">
        <v>4</v>
      </c>
      <c r="H183" s="3">
        <v>40</v>
      </c>
      <c r="I183" s="3">
        <v>12</v>
      </c>
      <c r="J183" s="3" t="s">
        <v>42</v>
      </c>
      <c r="K183" s="4" t="s">
        <v>15</v>
      </c>
      <c r="L183" s="5" t="s">
        <v>15</v>
      </c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>
        <v>29</v>
      </c>
      <c r="B184" s="2">
        <v>427</v>
      </c>
      <c r="C184" s="133" t="s">
        <v>13</v>
      </c>
      <c r="D184" s="204">
        <v>2569</v>
      </c>
      <c r="E184" s="2" t="s">
        <v>805</v>
      </c>
      <c r="F184" s="2" t="s">
        <v>46</v>
      </c>
      <c r="G184" s="2">
        <v>2</v>
      </c>
      <c r="H184" s="3">
        <v>25</v>
      </c>
      <c r="I184" s="3">
        <v>8</v>
      </c>
      <c r="J184" s="3" t="s">
        <v>14</v>
      </c>
      <c r="K184" s="4" t="s">
        <v>15</v>
      </c>
      <c r="L184" s="5" t="s">
        <v>15</v>
      </c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>
        <v>30</v>
      </c>
      <c r="B185" s="2" t="s">
        <v>810</v>
      </c>
      <c r="C185" s="133" t="s">
        <v>13</v>
      </c>
      <c r="D185" s="204">
        <v>2572</v>
      </c>
      <c r="E185" s="2" t="s">
        <v>296</v>
      </c>
      <c r="F185" s="2" t="s">
        <v>779</v>
      </c>
      <c r="G185" s="2">
        <v>2</v>
      </c>
      <c r="H185" s="3">
        <v>25</v>
      </c>
      <c r="I185" s="3">
        <v>8</v>
      </c>
      <c r="J185" s="3" t="s">
        <v>42</v>
      </c>
      <c r="K185" s="4" t="s">
        <v>15</v>
      </c>
      <c r="L185" s="5" t="s">
        <v>15</v>
      </c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>
        <v>30</v>
      </c>
      <c r="B186" s="2" t="s">
        <v>811</v>
      </c>
      <c r="C186" s="133" t="s">
        <v>13</v>
      </c>
      <c r="D186" s="204">
        <v>2573</v>
      </c>
      <c r="E186" s="2" t="s">
        <v>433</v>
      </c>
      <c r="F186" s="2" t="s">
        <v>779</v>
      </c>
      <c r="G186" s="2">
        <v>4</v>
      </c>
      <c r="H186" s="3">
        <v>40</v>
      </c>
      <c r="I186" s="3">
        <v>12</v>
      </c>
      <c r="J186" s="3" t="s">
        <v>42</v>
      </c>
      <c r="K186" s="4" t="s">
        <v>15</v>
      </c>
      <c r="L186" s="5" t="s">
        <v>15</v>
      </c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>
        <v>30</v>
      </c>
      <c r="B187" s="2" t="s">
        <v>589</v>
      </c>
      <c r="C187" s="133" t="s">
        <v>23</v>
      </c>
      <c r="D187" s="204">
        <v>174293</v>
      </c>
      <c r="E187" s="9" t="s">
        <v>242</v>
      </c>
      <c r="F187" s="2" t="s">
        <v>282</v>
      </c>
      <c r="G187" s="2">
        <v>4</v>
      </c>
      <c r="H187" s="3">
        <v>50</v>
      </c>
      <c r="I187" s="3" t="s">
        <v>34</v>
      </c>
      <c r="J187" s="3" t="s">
        <v>18</v>
      </c>
      <c r="K187" s="4" t="s">
        <v>16</v>
      </c>
      <c r="L187" s="5" t="s">
        <v>16</v>
      </c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ht="15" customHeight="1" x14ac:dyDescent="0.25">
      <c r="A188" s="1">
        <v>31</v>
      </c>
      <c r="B188" s="2" t="s">
        <v>356</v>
      </c>
      <c r="C188" s="133" t="s">
        <v>23</v>
      </c>
      <c r="D188" s="204">
        <v>171802</v>
      </c>
      <c r="E188" s="2" t="s">
        <v>806</v>
      </c>
      <c r="F188" s="2" t="s">
        <v>76</v>
      </c>
      <c r="G188" s="2">
        <v>2</v>
      </c>
      <c r="H188" s="3">
        <v>22</v>
      </c>
      <c r="I188" s="3" t="s">
        <v>34</v>
      </c>
      <c r="J188" s="3" t="s">
        <v>27</v>
      </c>
      <c r="K188" s="4" t="s">
        <v>15</v>
      </c>
      <c r="L188" s="5" t="s">
        <v>16</v>
      </c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ht="15" customHeight="1" x14ac:dyDescent="0.25">
      <c r="A189" s="1">
        <v>31</v>
      </c>
      <c r="B189" s="2">
        <v>410</v>
      </c>
      <c r="C189" s="133" t="s">
        <v>13</v>
      </c>
      <c r="D189" s="2">
        <v>2578</v>
      </c>
      <c r="E189" s="2" t="s">
        <v>644</v>
      </c>
      <c r="F189" s="2" t="s">
        <v>46</v>
      </c>
      <c r="G189" s="2">
        <v>3</v>
      </c>
      <c r="H189" s="3">
        <v>40</v>
      </c>
      <c r="I189" s="3">
        <v>12</v>
      </c>
      <c r="J189" s="3" t="s">
        <v>14</v>
      </c>
      <c r="K189" s="4" t="s">
        <v>15</v>
      </c>
      <c r="L189" s="5" t="s">
        <v>15</v>
      </c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ht="15" customHeight="1" x14ac:dyDescent="0.25">
      <c r="A190" s="258">
        <v>31</v>
      </c>
      <c r="B190" s="2" t="s">
        <v>793</v>
      </c>
      <c r="C190" s="133" t="s">
        <v>13</v>
      </c>
      <c r="D190" s="2">
        <v>2577</v>
      </c>
      <c r="E190" s="2" t="s">
        <v>127</v>
      </c>
      <c r="F190" s="2" t="s">
        <v>816</v>
      </c>
      <c r="G190" s="2">
        <v>6</v>
      </c>
      <c r="H190" s="3">
        <v>55</v>
      </c>
      <c r="I190" s="3">
        <v>15</v>
      </c>
      <c r="J190" s="3" t="s">
        <v>26</v>
      </c>
      <c r="K190" s="4" t="s">
        <v>15</v>
      </c>
      <c r="L190" s="5" t="s">
        <v>15</v>
      </c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ht="15" customHeight="1" x14ac:dyDescent="0.25">
      <c r="A191" s="1">
        <v>31</v>
      </c>
      <c r="B191" s="2">
        <v>412</v>
      </c>
      <c r="C191" s="133" t="s">
        <v>13</v>
      </c>
      <c r="D191" s="204">
        <v>2576</v>
      </c>
      <c r="E191" s="2" t="s">
        <v>815</v>
      </c>
      <c r="F191" s="2" t="s">
        <v>76</v>
      </c>
      <c r="G191" s="2">
        <v>2</v>
      </c>
      <c r="H191" s="3">
        <v>25</v>
      </c>
      <c r="I191" s="3">
        <v>8</v>
      </c>
      <c r="J191" s="3" t="s">
        <v>26</v>
      </c>
      <c r="K191" s="4" t="s">
        <v>15</v>
      </c>
      <c r="L191" s="5" t="s">
        <v>15</v>
      </c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ht="15" customHeight="1" x14ac:dyDescent="0.25">
      <c r="A192" s="1">
        <v>31</v>
      </c>
      <c r="B192" s="2">
        <v>305</v>
      </c>
      <c r="C192" s="133" t="s">
        <v>13</v>
      </c>
      <c r="D192" s="2">
        <v>2579</v>
      </c>
      <c r="E192" s="2" t="s">
        <v>94</v>
      </c>
      <c r="F192" s="2" t="s">
        <v>76</v>
      </c>
      <c r="G192" s="2">
        <v>1</v>
      </c>
      <c r="H192" s="3">
        <v>25</v>
      </c>
      <c r="I192" s="3">
        <v>8</v>
      </c>
      <c r="J192" s="3" t="s">
        <v>26</v>
      </c>
      <c r="K192" s="4" t="s">
        <v>15</v>
      </c>
      <c r="L192" s="5" t="s">
        <v>15</v>
      </c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ht="15" customHeight="1" x14ac:dyDescent="0.25">
      <c r="A193" s="1">
        <v>31</v>
      </c>
      <c r="B193" s="2">
        <v>112</v>
      </c>
      <c r="C193" s="133" t="s">
        <v>22</v>
      </c>
      <c r="D193" s="2">
        <v>175514</v>
      </c>
      <c r="E193" s="2" t="s">
        <v>34</v>
      </c>
      <c r="F193" s="2" t="s">
        <v>194</v>
      </c>
      <c r="G193" s="2">
        <v>1</v>
      </c>
      <c r="H193" s="3">
        <v>36</v>
      </c>
      <c r="I193" s="3">
        <v>9</v>
      </c>
      <c r="J193" s="3" t="s">
        <v>26</v>
      </c>
      <c r="K193" s="4" t="s">
        <v>15</v>
      </c>
      <c r="L193" s="5" t="s">
        <v>16</v>
      </c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ht="15" customHeight="1" x14ac:dyDescent="0.25">
      <c r="A194" s="1"/>
      <c r="C194" s="133"/>
      <c r="D194" s="204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ht="15" customHeight="1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ht="15" customHeight="1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ht="15" customHeight="1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ht="15" customHeight="1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ht="15" customHeight="1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" customHeight="1" x14ac:dyDescent="0.25">
      <c r="A200" s="1"/>
      <c r="B200" s="2"/>
      <c r="C200" s="133"/>
      <c r="D200" s="2"/>
      <c r="E200" s="2"/>
      <c r="F200" s="2"/>
      <c r="G200" s="2"/>
      <c r="H200" s="3"/>
      <c r="I200" s="3"/>
      <c r="J200" s="3"/>
      <c r="K200" s="4"/>
      <c r="L200" s="5"/>
      <c r="M200" s="144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ht="15" customHeight="1" x14ac:dyDescent="0.25">
      <c r="A201" s="1"/>
      <c r="B201" s="2"/>
      <c r="C201" s="133"/>
      <c r="D201" s="2"/>
      <c r="E201" s="2"/>
      <c r="F201" s="2"/>
      <c r="G201" s="2"/>
      <c r="H201" s="3"/>
      <c r="I201" s="3"/>
      <c r="J201" s="3"/>
      <c r="K201" s="4"/>
      <c r="L201" s="5"/>
      <c r="M201" s="144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ht="15" customHeight="1" x14ac:dyDescent="0.25">
      <c r="A202" s="1"/>
      <c r="B202" s="2"/>
      <c r="C202" s="133"/>
      <c r="D202" s="204"/>
      <c r="E202" s="2"/>
      <c r="F202" s="2"/>
      <c r="G202" s="2"/>
      <c r="H202" s="3"/>
      <c r="I202" s="3"/>
      <c r="J202" s="3"/>
      <c r="K202" s="4"/>
      <c r="L202" s="5"/>
      <c r="M202" s="144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ht="15" customHeight="1" x14ac:dyDescent="0.25">
      <c r="A203" s="1"/>
      <c r="B203" s="2"/>
      <c r="C203" s="133"/>
      <c r="D203" s="2"/>
      <c r="E203" s="2"/>
      <c r="F203" s="2"/>
      <c r="G203" s="2"/>
      <c r="H203" s="3"/>
      <c r="I203" s="3"/>
      <c r="J203" s="3"/>
      <c r="K203" s="4"/>
      <c r="L203" s="5"/>
      <c r="M203" s="144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ht="15" customHeight="1" x14ac:dyDescent="0.25">
      <c r="A204" s="1"/>
      <c r="B204" s="2"/>
      <c r="C204" s="133"/>
      <c r="D204" s="2"/>
      <c r="E204" s="2"/>
      <c r="F204" s="2"/>
      <c r="G204" s="2"/>
      <c r="H204" s="3"/>
      <c r="I204" s="3"/>
      <c r="J204" s="3"/>
      <c r="K204" s="4"/>
      <c r="L204" s="5"/>
      <c r="M204" s="144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ht="15" customHeight="1" x14ac:dyDescent="0.25">
      <c r="A205" s="1"/>
      <c r="B205" s="2"/>
      <c r="C205" s="133"/>
      <c r="D205" s="204"/>
      <c r="E205" s="2"/>
      <c r="F205" s="2"/>
      <c r="G205" s="2"/>
      <c r="H205" s="3"/>
      <c r="I205" s="3"/>
      <c r="J205" s="3"/>
      <c r="K205" s="4"/>
      <c r="L205" s="5"/>
      <c r="M205" s="144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ht="15" customHeight="1" x14ac:dyDescent="0.25">
      <c r="A206" s="1"/>
      <c r="B206" s="2"/>
      <c r="C206" s="133"/>
      <c r="D206" s="2"/>
      <c r="E206" s="2"/>
      <c r="F206" s="2"/>
      <c r="G206" s="2"/>
      <c r="H206" s="3"/>
      <c r="I206" s="3"/>
      <c r="J206" s="3"/>
      <c r="K206" s="4"/>
      <c r="L206" s="5"/>
      <c r="M206" s="144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ht="15" customHeight="1" x14ac:dyDescent="0.25">
      <c r="A207" s="1"/>
      <c r="B207" s="2"/>
      <c r="C207" s="133"/>
      <c r="D207" s="2"/>
      <c r="E207" s="2"/>
      <c r="F207" s="2"/>
      <c r="G207" s="2"/>
      <c r="H207" s="3"/>
      <c r="I207" s="3"/>
      <c r="J207" s="3"/>
      <c r="K207" s="4"/>
      <c r="L207" s="5"/>
      <c r="M207" s="144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ht="15" customHeight="1" x14ac:dyDescent="0.25">
      <c r="A208" s="1"/>
      <c r="B208" s="2"/>
      <c r="C208" s="133"/>
      <c r="D208" s="2"/>
      <c r="E208" s="2"/>
      <c r="F208" s="2"/>
      <c r="G208" s="2"/>
      <c r="H208" s="3"/>
      <c r="I208" s="3"/>
      <c r="J208" s="3"/>
      <c r="K208" s="4"/>
      <c r="L208" s="5"/>
      <c r="M208" s="144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ht="15" customHeight="1" x14ac:dyDescent="0.25">
      <c r="A209" s="1"/>
      <c r="B209" s="2"/>
      <c r="C209" s="133"/>
      <c r="D209" s="2"/>
      <c r="E209" s="2"/>
      <c r="F209" s="2"/>
      <c r="G209" s="2"/>
      <c r="H209" s="3"/>
      <c r="I209" s="3"/>
      <c r="J209" s="3"/>
      <c r="K209" s="4"/>
      <c r="L209" s="5"/>
      <c r="M209" s="144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ht="15" customHeight="1" x14ac:dyDescent="0.25">
      <c r="A210" s="1"/>
      <c r="B210" s="2"/>
      <c r="C210" s="133"/>
      <c r="D210" s="2"/>
      <c r="E210" s="2"/>
      <c r="F210" s="2"/>
      <c r="G210" s="2"/>
      <c r="H210" s="3"/>
      <c r="I210" s="3"/>
      <c r="J210" s="3"/>
      <c r="K210" s="4"/>
      <c r="L210" s="5"/>
      <c r="M210" s="144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ht="15" customHeight="1" x14ac:dyDescent="0.25">
      <c r="A211" s="1"/>
      <c r="B211" s="2"/>
      <c r="C211" s="133"/>
      <c r="D211" s="204"/>
      <c r="E211" s="2"/>
      <c r="F211" s="2"/>
      <c r="G211" s="2"/>
      <c r="H211" s="3"/>
      <c r="I211" s="3"/>
      <c r="J211" s="3"/>
      <c r="K211" s="4"/>
      <c r="L211" s="5"/>
      <c r="M211" s="144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ht="15" customHeight="1" x14ac:dyDescent="0.25">
      <c r="A212" s="1"/>
      <c r="B212" s="2"/>
      <c r="C212" s="133"/>
      <c r="D212" s="204"/>
      <c r="E212" s="9"/>
      <c r="F212" s="2"/>
      <c r="G212" s="2"/>
      <c r="H212" s="3"/>
      <c r="I212" s="3"/>
      <c r="J212" s="3"/>
      <c r="K212" s="4"/>
      <c r="L212" s="5"/>
      <c r="M212" s="144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ht="15" customHeight="1" x14ac:dyDescent="0.25">
      <c r="A213" s="1"/>
      <c r="B213" s="2"/>
      <c r="C213" s="133"/>
      <c r="D213" s="2"/>
      <c r="E213" s="2"/>
      <c r="F213" s="2"/>
      <c r="G213" s="2"/>
      <c r="H213" s="3"/>
      <c r="I213" s="3"/>
      <c r="J213" s="3"/>
      <c r="K213" s="4"/>
      <c r="L213" s="5"/>
      <c r="M213" s="144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ht="15" customHeight="1" x14ac:dyDescent="0.25">
      <c r="A214" s="1"/>
      <c r="B214" s="2"/>
      <c r="C214" s="133"/>
      <c r="D214" s="2"/>
      <c r="E214" s="2"/>
      <c r="F214" s="2"/>
      <c r="G214" s="2"/>
      <c r="H214" s="3"/>
      <c r="I214" s="3"/>
      <c r="J214" s="3"/>
      <c r="K214" s="4"/>
      <c r="L214" s="5"/>
      <c r="M214" s="144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ht="15" customHeight="1" x14ac:dyDescent="0.25">
      <c r="A215" s="1"/>
      <c r="B215" s="2"/>
      <c r="C215" s="133"/>
      <c r="D215" s="2"/>
      <c r="E215" s="2"/>
      <c r="F215" s="2"/>
      <c r="G215" s="2"/>
      <c r="H215" s="3"/>
      <c r="I215" s="3"/>
      <c r="J215" s="3"/>
      <c r="K215" s="4"/>
      <c r="L215" s="5"/>
      <c r="M215" s="144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ht="15" customHeight="1" x14ac:dyDescent="0.25">
      <c r="A216" s="1"/>
      <c r="B216" s="2"/>
      <c r="C216" s="133"/>
      <c r="D216" s="2"/>
      <c r="E216" s="2"/>
      <c r="F216" s="2"/>
      <c r="G216" s="2"/>
      <c r="H216" s="3"/>
      <c r="I216" s="3"/>
      <c r="J216" s="3"/>
      <c r="K216" s="4"/>
      <c r="L216" s="5"/>
      <c r="M216" s="144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ht="15" customHeight="1" x14ac:dyDescent="0.25">
      <c r="A217" s="1"/>
      <c r="B217" s="2"/>
      <c r="C217" s="133"/>
      <c r="D217" s="204"/>
      <c r="E217" s="2"/>
      <c r="F217" s="2"/>
      <c r="G217" s="2"/>
      <c r="H217" s="3"/>
      <c r="I217" s="3"/>
      <c r="J217" s="3"/>
      <c r="K217" s="4"/>
      <c r="L217" s="5"/>
      <c r="M217" s="144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ht="15" customHeight="1" x14ac:dyDescent="0.25">
      <c r="A218" s="1"/>
      <c r="B218" s="2"/>
      <c r="C218" s="133"/>
      <c r="D218" s="2"/>
      <c r="E218" s="2"/>
      <c r="F218" s="2"/>
      <c r="G218" s="2"/>
      <c r="H218" s="3"/>
      <c r="I218" s="3"/>
      <c r="J218" s="3"/>
      <c r="K218" s="4"/>
      <c r="L218" s="5"/>
      <c r="M218" s="144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ht="15" customHeight="1" x14ac:dyDescent="0.25">
      <c r="A219" s="1"/>
      <c r="B219" s="2"/>
      <c r="C219" s="133"/>
      <c r="D219" s="2"/>
      <c r="E219" s="2"/>
      <c r="F219" s="2"/>
      <c r="G219" s="2"/>
      <c r="H219" s="3"/>
      <c r="I219" s="3"/>
      <c r="J219" s="3"/>
      <c r="K219" s="4"/>
      <c r="L219" s="5"/>
      <c r="M219" s="144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ht="15" customHeight="1" x14ac:dyDescent="0.25">
      <c r="A220" s="1"/>
      <c r="B220" s="2"/>
      <c r="C220" s="133"/>
      <c r="D220" s="204"/>
      <c r="E220" s="2"/>
      <c r="F220" s="2"/>
      <c r="G220" s="2"/>
      <c r="H220" s="3"/>
      <c r="I220" s="3"/>
      <c r="J220" s="3"/>
      <c r="K220" s="4"/>
      <c r="L220" s="5"/>
      <c r="M220" s="144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ht="15" customHeight="1" x14ac:dyDescent="0.25">
      <c r="A221" s="1"/>
      <c r="B221" s="2"/>
      <c r="C221" s="133"/>
      <c r="D221" s="204"/>
      <c r="E221" s="2"/>
      <c r="F221" s="2"/>
      <c r="G221" s="2"/>
      <c r="H221" s="3"/>
      <c r="I221" s="3"/>
      <c r="J221" s="3"/>
      <c r="K221" s="4"/>
      <c r="L221" s="5"/>
      <c r="M221" s="144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ht="15" customHeight="1" x14ac:dyDescent="0.25">
      <c r="A222" s="1"/>
      <c r="B222" s="2"/>
      <c r="C222" s="133"/>
      <c r="D222" s="2"/>
      <c r="E222" s="2"/>
      <c r="F222" s="2"/>
      <c r="G222" s="2"/>
      <c r="H222" s="3"/>
      <c r="I222" s="3"/>
      <c r="J222" s="3"/>
      <c r="K222" s="4"/>
      <c r="L222" s="5"/>
      <c r="M222" s="144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ht="15" customHeight="1" x14ac:dyDescent="0.25">
      <c r="A223" s="1"/>
      <c r="B223" s="2"/>
      <c r="C223" s="133"/>
      <c r="D223" s="2"/>
      <c r="E223" s="2"/>
      <c r="F223" s="2"/>
      <c r="G223" s="2"/>
      <c r="H223" s="3"/>
      <c r="I223" s="3"/>
      <c r="J223" s="3"/>
      <c r="K223" s="4"/>
      <c r="L223" s="5"/>
      <c r="M223" s="144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ht="15" customHeight="1" x14ac:dyDescent="0.25">
      <c r="A224" s="1"/>
      <c r="B224" s="2"/>
      <c r="C224" s="133"/>
      <c r="D224" s="2"/>
      <c r="E224" s="2"/>
      <c r="F224" s="2"/>
      <c r="G224" s="2"/>
      <c r="H224" s="3"/>
      <c r="I224" s="3"/>
      <c r="J224" s="3"/>
      <c r="K224" s="4"/>
      <c r="L224" s="5"/>
      <c r="M224" s="144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ht="15" customHeight="1" x14ac:dyDescent="0.25">
      <c r="A225" s="1"/>
      <c r="B225" s="2"/>
      <c r="C225" s="133"/>
      <c r="D225" s="2"/>
      <c r="E225" s="2"/>
      <c r="F225" s="2"/>
      <c r="G225" s="2"/>
      <c r="H225" s="3"/>
      <c r="I225" s="3"/>
      <c r="J225" s="3"/>
      <c r="K225" s="4"/>
      <c r="L225" s="5"/>
      <c r="M225" s="144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ht="15" customHeight="1" x14ac:dyDescent="0.25">
      <c r="A226" s="1"/>
      <c r="B226" s="2"/>
      <c r="C226" s="133"/>
      <c r="D226" s="2"/>
      <c r="E226" s="2"/>
      <c r="F226" s="2"/>
      <c r="G226" s="2"/>
      <c r="H226" s="3"/>
      <c r="I226" s="3"/>
      <c r="J226" s="3"/>
      <c r="K226" s="4"/>
      <c r="L226" s="5"/>
      <c r="M226" s="144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ht="15" customHeight="1" x14ac:dyDescent="0.25">
      <c r="A227" s="1"/>
      <c r="B227" s="2"/>
      <c r="C227" s="133"/>
      <c r="D227" s="2"/>
      <c r="E227" s="2"/>
      <c r="F227" s="2"/>
      <c r="G227" s="2"/>
      <c r="H227" s="3"/>
      <c r="I227" s="3"/>
      <c r="J227" s="3"/>
      <c r="K227" s="4"/>
      <c r="L227" s="5"/>
      <c r="M227" s="144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ht="15" customHeight="1" x14ac:dyDescent="0.25">
      <c r="A228" s="1"/>
      <c r="B228" s="2"/>
      <c r="C228" s="133"/>
      <c r="D228" s="2"/>
      <c r="E228" s="2"/>
      <c r="F228" s="2"/>
      <c r="G228" s="2"/>
      <c r="H228" s="3"/>
      <c r="I228" s="3"/>
      <c r="J228" s="3"/>
      <c r="K228" s="4"/>
      <c r="L228" s="5"/>
      <c r="M228" s="144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ht="15" customHeight="1" x14ac:dyDescent="0.25">
      <c r="A229" s="1"/>
      <c r="B229" s="2"/>
      <c r="C229" s="133"/>
      <c r="D229" s="2"/>
      <c r="E229" s="2"/>
      <c r="F229" s="2"/>
      <c r="G229" s="2"/>
      <c r="H229" s="3"/>
      <c r="I229" s="3"/>
      <c r="J229" s="3"/>
      <c r="K229" s="4"/>
      <c r="L229" s="5"/>
      <c r="M229" s="144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ht="15" customHeight="1" x14ac:dyDescent="0.25">
      <c r="A230" s="1"/>
      <c r="B230" s="2"/>
      <c r="C230" s="133"/>
      <c r="D230" s="2"/>
      <c r="E230" s="2"/>
      <c r="F230" s="2"/>
      <c r="G230" s="2"/>
      <c r="H230" s="3"/>
      <c r="I230" s="3"/>
      <c r="J230" s="3"/>
      <c r="K230" s="4"/>
      <c r="L230" s="5"/>
      <c r="M230" s="144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ht="15" customHeight="1" thickBot="1" x14ac:dyDescent="0.3">
      <c r="A231" s="11"/>
      <c r="B231" s="12"/>
      <c r="C231" s="134"/>
      <c r="D231" s="12"/>
      <c r="E231" s="12"/>
      <c r="F231" s="12"/>
      <c r="G231" s="12"/>
      <c r="H231" s="13"/>
      <c r="I231" s="13"/>
      <c r="J231" s="13"/>
      <c r="K231" s="12"/>
      <c r="L231" s="14"/>
      <c r="M231" s="144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ht="15" customHeight="1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4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4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4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5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5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3"/>
      <c r="AY372" s="143"/>
      <c r="AZ372" s="143"/>
      <c r="BA372" s="143"/>
      <c r="BB372" s="143"/>
      <c r="BC372" s="143"/>
    </row>
    <row r="373" spans="1:55" x14ac:dyDescent="0.25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3"/>
      <c r="AY373" s="143"/>
      <c r="AZ373" s="143"/>
      <c r="BA373" s="143"/>
      <c r="BB373" s="143"/>
      <c r="BC373" s="143"/>
    </row>
    <row r="374" spans="1:55" x14ac:dyDescent="0.25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3"/>
      <c r="AY374" s="143"/>
      <c r="AZ374" s="143"/>
      <c r="BA374" s="143"/>
      <c r="BB374" s="143"/>
      <c r="BC374" s="143"/>
    </row>
    <row r="375" spans="1:55" x14ac:dyDescent="0.2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  <c r="AY375" s="143"/>
      <c r="AZ375" s="143"/>
      <c r="BA375" s="143"/>
      <c r="BB375" s="143"/>
      <c r="BC375" s="143"/>
    </row>
    <row r="376" spans="1:55" x14ac:dyDescent="0.25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3"/>
      <c r="AY376" s="143"/>
      <c r="AZ376" s="143"/>
      <c r="BA376" s="143"/>
      <c r="BB376" s="143"/>
      <c r="BC376" s="143"/>
    </row>
    <row r="377" spans="1:55" x14ac:dyDescent="0.25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3"/>
      <c r="AY377" s="143"/>
      <c r="AZ377" s="143"/>
      <c r="BA377" s="143"/>
      <c r="BB377" s="143"/>
      <c r="BC377" s="143"/>
    </row>
    <row r="378" spans="1:55" x14ac:dyDescent="0.25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3"/>
      <c r="AY378" s="143"/>
      <c r="AZ378" s="143"/>
      <c r="BA378" s="143"/>
      <c r="BB378" s="143"/>
      <c r="BC378" s="143"/>
    </row>
    <row r="379" spans="1:55" x14ac:dyDescent="0.25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3"/>
      <c r="AY379" s="143"/>
      <c r="AZ379" s="143"/>
      <c r="BA379" s="143"/>
      <c r="BB379" s="143"/>
      <c r="BC379" s="143"/>
    </row>
    <row r="380" spans="1:55" x14ac:dyDescent="0.25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3"/>
      <c r="AY380" s="143"/>
      <c r="AZ380" s="143"/>
      <c r="BA380" s="143"/>
      <c r="BB380" s="143"/>
      <c r="BC380" s="143"/>
    </row>
    <row r="381" spans="1:55" x14ac:dyDescent="0.25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3"/>
      <c r="AY381" s="143"/>
      <c r="AZ381" s="143"/>
      <c r="BA381" s="143"/>
      <c r="BB381" s="143"/>
      <c r="BC381" s="143"/>
    </row>
    <row r="382" spans="1:55" x14ac:dyDescent="0.25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43"/>
      <c r="AZ382" s="143"/>
      <c r="BA382" s="143"/>
      <c r="BB382" s="143"/>
      <c r="BC382" s="143"/>
    </row>
    <row r="383" spans="1:55" x14ac:dyDescent="0.25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  <c r="AY383" s="143"/>
      <c r="AZ383" s="143"/>
      <c r="BA383" s="143"/>
      <c r="BB383" s="143"/>
      <c r="BC383" s="143"/>
    </row>
    <row r="384" spans="1:55" x14ac:dyDescent="0.25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  <c r="AY384" s="143"/>
      <c r="AZ384" s="143"/>
      <c r="BA384" s="143"/>
      <c r="BB384" s="143"/>
      <c r="BC384" s="143"/>
    </row>
    <row r="385" spans="1:55" x14ac:dyDescent="0.2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3"/>
      <c r="AY385" s="143"/>
      <c r="AZ385" s="143"/>
      <c r="BA385" s="143"/>
      <c r="BB385" s="143"/>
      <c r="BC385" s="143"/>
    </row>
    <row r="386" spans="1:55" x14ac:dyDescent="0.25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3"/>
      <c r="AY386" s="143"/>
      <c r="AZ386" s="143"/>
      <c r="BA386" s="143"/>
      <c r="BB386" s="143"/>
      <c r="BC386" s="143"/>
    </row>
    <row r="387" spans="1:55" x14ac:dyDescent="0.25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3"/>
      <c r="AY387" s="143"/>
      <c r="AZ387" s="143"/>
      <c r="BA387" s="143"/>
      <c r="BB387" s="143"/>
      <c r="BC387" s="143"/>
    </row>
    <row r="388" spans="1:55" x14ac:dyDescent="0.25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3"/>
      <c r="AY388" s="143"/>
      <c r="AZ388" s="143"/>
      <c r="BA388" s="143"/>
      <c r="BB388" s="143"/>
      <c r="BC388" s="143"/>
    </row>
    <row r="389" spans="1:55" x14ac:dyDescent="0.25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3"/>
      <c r="AY389" s="143"/>
      <c r="AZ389" s="143"/>
      <c r="BA389" s="143"/>
      <c r="BB389" s="143"/>
      <c r="BC389" s="143"/>
    </row>
    <row r="390" spans="1:55" x14ac:dyDescent="0.25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3"/>
      <c r="AY390" s="143"/>
      <c r="AZ390" s="143"/>
      <c r="BA390" s="143"/>
      <c r="BB390" s="143"/>
      <c r="BC390" s="143"/>
    </row>
    <row r="391" spans="1:55" x14ac:dyDescent="0.25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3"/>
      <c r="AY391" s="143"/>
      <c r="AZ391" s="143"/>
      <c r="BA391" s="143"/>
      <c r="BB391" s="143"/>
      <c r="BC391" s="143"/>
    </row>
    <row r="392" spans="1:55" x14ac:dyDescent="0.25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3"/>
      <c r="AY392" s="143"/>
      <c r="AZ392" s="143"/>
      <c r="BA392" s="143"/>
      <c r="BB392" s="143"/>
      <c r="BC392" s="143"/>
    </row>
    <row r="393" spans="1:55" x14ac:dyDescent="0.25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3"/>
      <c r="AY393" s="143"/>
      <c r="AZ393" s="143"/>
      <c r="BA393" s="143"/>
      <c r="BB393" s="143"/>
      <c r="BC393" s="143"/>
    </row>
    <row r="394" spans="1:55" x14ac:dyDescent="0.25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3"/>
      <c r="AY394" s="143"/>
      <c r="AZ394" s="143"/>
      <c r="BA394" s="143"/>
      <c r="BB394" s="143"/>
      <c r="BC394" s="143"/>
    </row>
    <row r="395" spans="1:55" x14ac:dyDescent="0.2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3"/>
      <c r="AY395" s="143"/>
      <c r="AZ395" s="143"/>
      <c r="BA395" s="143"/>
      <c r="BB395" s="143"/>
      <c r="BC395" s="143"/>
    </row>
    <row r="396" spans="1:55" x14ac:dyDescent="0.25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  <c r="AT396" s="143"/>
      <c r="AU396" s="143"/>
      <c r="AV396" s="143"/>
      <c r="AW396" s="143"/>
      <c r="AX396" s="143"/>
      <c r="AY396" s="143"/>
      <c r="AZ396" s="143"/>
      <c r="BA396" s="143"/>
      <c r="BB396" s="143"/>
      <c r="BC396" s="143"/>
    </row>
    <row r="397" spans="1:55" x14ac:dyDescent="0.25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3"/>
      <c r="AY397" s="143"/>
      <c r="AZ397" s="143"/>
      <c r="BA397" s="143"/>
      <c r="BB397" s="143"/>
      <c r="BC397" s="143"/>
    </row>
    <row r="398" spans="1:55" x14ac:dyDescent="0.25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3"/>
      <c r="AY398" s="143"/>
      <c r="AZ398" s="143"/>
      <c r="BA398" s="143"/>
      <c r="BB398" s="143"/>
      <c r="BC398" s="143"/>
    </row>
    <row r="399" spans="1:55" x14ac:dyDescent="0.25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3"/>
      <c r="AY399" s="143"/>
      <c r="AZ399" s="143"/>
      <c r="BA399" s="143"/>
      <c r="BB399" s="143"/>
      <c r="BC399" s="143"/>
    </row>
    <row r="400" spans="1:55" x14ac:dyDescent="0.25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3"/>
      <c r="AY400" s="143"/>
      <c r="AZ400" s="143"/>
      <c r="BA400" s="143"/>
      <c r="BB400" s="143"/>
      <c r="BC400" s="143"/>
    </row>
    <row r="401" spans="1:55" x14ac:dyDescent="0.25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3"/>
      <c r="AY401" s="143"/>
      <c r="AZ401" s="143"/>
      <c r="BA401" s="143"/>
      <c r="BB401" s="143"/>
      <c r="BC401" s="143"/>
    </row>
    <row r="402" spans="1:55" x14ac:dyDescent="0.25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3"/>
      <c r="AY402" s="143"/>
      <c r="AZ402" s="143"/>
      <c r="BA402" s="143"/>
      <c r="BB402" s="143"/>
      <c r="BC402" s="143"/>
    </row>
    <row r="403" spans="1:55" x14ac:dyDescent="0.25">
      <c r="D403"/>
      <c r="M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3"/>
      <c r="AY403" s="143"/>
      <c r="AZ403" s="143"/>
      <c r="BA403" s="143"/>
      <c r="BB403" s="143"/>
      <c r="BC403" s="143"/>
    </row>
    <row r="404" spans="1:55" x14ac:dyDescent="0.25">
      <c r="D404"/>
      <c r="O404" s="143"/>
      <c r="P404" s="143"/>
      <c r="Q404" s="143"/>
      <c r="R404" s="143"/>
      <c r="S404" s="143"/>
      <c r="T404" s="143"/>
      <c r="U404" s="143"/>
      <c r="V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3"/>
      <c r="AY404" s="143"/>
      <c r="AZ404" s="143"/>
      <c r="BA404" s="143"/>
      <c r="BB404" s="143"/>
      <c r="BC404" s="143"/>
    </row>
    <row r="405" spans="1:55" x14ac:dyDescent="0.25">
      <c r="D405"/>
      <c r="O405" s="143"/>
      <c r="P405" s="143"/>
      <c r="Q405" s="143"/>
      <c r="R405" s="143"/>
      <c r="S405" s="143"/>
      <c r="T405" s="143"/>
      <c r="U405" s="143"/>
      <c r="V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3"/>
      <c r="AY405" s="143"/>
      <c r="AZ405" s="143"/>
      <c r="BA405" s="143"/>
      <c r="BB405" s="143"/>
      <c r="BC405" s="143"/>
    </row>
    <row r="406" spans="1:55" x14ac:dyDescent="0.25">
      <c r="D406"/>
      <c r="O406" s="143"/>
      <c r="P406" s="143"/>
      <c r="Q406" s="143"/>
      <c r="R406" s="143"/>
      <c r="S406" s="143"/>
      <c r="T406" s="143"/>
      <c r="U406" s="143"/>
      <c r="V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3"/>
      <c r="AY406" s="143"/>
      <c r="AZ406" s="143"/>
      <c r="BA406" s="143"/>
      <c r="BB406" s="143"/>
      <c r="BC406" s="143"/>
    </row>
    <row r="407" spans="1:55" x14ac:dyDescent="0.25">
      <c r="D407"/>
      <c r="O407" s="143"/>
      <c r="P407" s="143"/>
      <c r="Q407" s="143"/>
      <c r="R407" s="143"/>
      <c r="S407" s="143"/>
      <c r="T407" s="143"/>
      <c r="U407" s="143"/>
      <c r="V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AW407" s="143"/>
      <c r="AX407" s="143"/>
      <c r="AY407" s="143"/>
      <c r="AZ407" s="143"/>
      <c r="BA407" s="143"/>
      <c r="BB407" s="143"/>
      <c r="BC407" s="143"/>
    </row>
    <row r="408" spans="1:55" x14ac:dyDescent="0.25">
      <c r="D408"/>
      <c r="O408" s="143"/>
      <c r="P408" s="143"/>
      <c r="Q408" s="143"/>
      <c r="R408" s="143"/>
      <c r="S408" s="143"/>
      <c r="T408" s="143"/>
      <c r="U408" s="143"/>
      <c r="V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3"/>
      <c r="AY408" s="143"/>
      <c r="AZ408" s="143"/>
      <c r="BA408" s="143"/>
      <c r="BB408" s="143"/>
      <c r="BC408" s="143"/>
    </row>
    <row r="409" spans="1:55" x14ac:dyDescent="0.25">
      <c r="D409"/>
      <c r="O409" s="143"/>
      <c r="P409" s="143"/>
      <c r="Q409" s="143"/>
      <c r="R409" s="143"/>
      <c r="S409" s="143"/>
      <c r="T409" s="143"/>
      <c r="U409" s="143"/>
      <c r="V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3"/>
      <c r="AY409" s="143"/>
      <c r="AZ409" s="143"/>
      <c r="BA409" s="143"/>
      <c r="BB409" s="143"/>
      <c r="BC409" s="143"/>
    </row>
    <row r="410" spans="1:55" x14ac:dyDescent="0.25">
      <c r="D410"/>
      <c r="O410" s="143"/>
      <c r="P410" s="143"/>
      <c r="Q410" s="143"/>
      <c r="R410" s="143"/>
      <c r="S410" s="143"/>
      <c r="T410" s="143"/>
      <c r="U410" s="143"/>
      <c r="V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3"/>
      <c r="AY410" s="143"/>
      <c r="AZ410" s="143"/>
      <c r="BA410" s="143"/>
      <c r="BB410" s="143"/>
      <c r="BC410" s="143"/>
    </row>
    <row r="411" spans="1:55" x14ac:dyDescent="0.25">
      <c r="D411"/>
      <c r="O411" s="143"/>
      <c r="P411" s="143"/>
      <c r="Q411" s="143"/>
      <c r="R411" s="143"/>
      <c r="S411" s="143"/>
      <c r="T411" s="143"/>
      <c r="U411" s="143"/>
      <c r="V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3"/>
      <c r="AY411" s="143"/>
      <c r="AZ411" s="143"/>
      <c r="BA411" s="143"/>
      <c r="BB411" s="143"/>
      <c r="BC411" s="143"/>
    </row>
    <row r="412" spans="1:55" x14ac:dyDescent="0.25">
      <c r="D412"/>
      <c r="O412" s="143"/>
      <c r="P412" s="143"/>
      <c r="Q412" s="143"/>
      <c r="R412" s="143"/>
      <c r="S412" s="143"/>
      <c r="T412" s="143"/>
      <c r="U412" s="143"/>
      <c r="V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3"/>
      <c r="AY412" s="143"/>
      <c r="AZ412" s="143"/>
      <c r="BA412" s="143"/>
      <c r="BB412" s="143"/>
      <c r="BC412" s="143"/>
    </row>
    <row r="413" spans="1:55" x14ac:dyDescent="0.25">
      <c r="D413"/>
      <c r="O413" s="143"/>
      <c r="P413" s="143"/>
      <c r="Q413" s="143"/>
      <c r="R413" s="143"/>
      <c r="S413" s="143"/>
      <c r="T413" s="143"/>
      <c r="U413" s="143"/>
      <c r="V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3"/>
      <c r="AY413" s="143"/>
      <c r="AZ413" s="143"/>
      <c r="BA413" s="143"/>
      <c r="BB413" s="143"/>
      <c r="BC413" s="143"/>
    </row>
    <row r="414" spans="1:55" x14ac:dyDescent="0.25">
      <c r="D414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3"/>
      <c r="AY414" s="143"/>
      <c r="AZ414" s="143"/>
      <c r="BA414" s="143"/>
      <c r="BB414" s="143"/>
      <c r="BC414" s="143"/>
    </row>
    <row r="415" spans="1:55" x14ac:dyDescent="0.25">
      <c r="D415"/>
    </row>
    <row r="416" spans="1:55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</sheetData>
  <sheetProtection formatCells="0" selectLockedCells="1" sort="0" autoFilter="0" pivotTables="0"/>
  <autoFilter ref="A1:L193" xr:uid="{D3097166-9FCC-4925-B666-AE89E638D728}">
    <sortState xmlns:xlrd2="http://schemas.microsoft.com/office/spreadsheetml/2017/richdata2" ref="A2:L191">
      <sortCondition ref="A1:A190"/>
    </sortState>
  </autoFilter>
  <mergeCells count="21">
    <mergeCell ref="Q47:R47"/>
    <mergeCell ref="N51:O51"/>
    <mergeCell ref="N30:O30"/>
    <mergeCell ref="N32:R32"/>
    <mergeCell ref="N33:P33"/>
    <mergeCell ref="N41:O41"/>
    <mergeCell ref="N42:P42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</mergeCells>
  <phoneticPr fontId="20" type="noConversion"/>
  <conditionalFormatting sqref="A58:B128 A129 A130:B193 A194:A195 A196:B231">
    <cfRule type="expression" dxfId="63" priority="33">
      <formula>$C58="Website"</formula>
    </cfRule>
    <cfRule type="expression" dxfId="62" priority="34">
      <formula>$C58="CitySightSeeing"</formula>
    </cfRule>
    <cfRule type="expression" dxfId="61" priority="35">
      <formula>$C58="Where To"</formula>
    </cfRule>
    <cfRule type="expression" dxfId="60" priority="53">
      <formula>$C58="Outra"</formula>
    </cfRule>
  </conditionalFormatting>
  <conditionalFormatting sqref="A2:L57 C58:L61 C62:K64 E65:K65 C66:L94 E95:K96 C97:K105 C106:L215 K216:L227 C228:L231 L62:L65 C65:C66 C95:C96 L95:L105 J216:J220 C216:I227">
    <cfRule type="expression" dxfId="59" priority="7">
      <formula>$C2="Outra"</formula>
    </cfRule>
  </conditionalFormatting>
  <conditionalFormatting sqref="A2:L57 C58:L61 C62:K64 L62:L65 E65:K65 C65:C66 C66:L94 C95:C96 E95:K96 L95:L105 C97:K105 C106:L215 J216:J220 C216:I227 K216:L227 C228:L231">
    <cfRule type="expression" dxfId="58" priority="8">
      <formula>$C2="Website"</formula>
    </cfRule>
    <cfRule type="expression" dxfId="57" priority="9">
      <formula>$C2="CitySightSeeing"</formula>
    </cfRule>
    <cfRule type="expression" dxfId="56" priority="10">
      <formula>$C2="Where To"</formula>
    </cfRule>
  </conditionalFormatting>
  <conditionalFormatting sqref="D96 B195">
    <cfRule type="expression" dxfId="55" priority="57">
      <formula>$C95="Website"</formula>
    </cfRule>
    <cfRule type="expression" dxfId="54" priority="58">
      <formula>$C95="CitySightSeeing"</formula>
    </cfRule>
    <cfRule type="expression" dxfId="53" priority="59">
      <formula>$C95="Where To"</formula>
    </cfRule>
    <cfRule type="expression" dxfId="52" priority="67">
      <formula>$C95="Outra"</formula>
    </cfRule>
  </conditionalFormatting>
  <conditionalFormatting sqref="J221:J224">
    <cfRule type="expression" dxfId="51" priority="11">
      <formula>$C222="Outra"</formula>
    </cfRule>
    <cfRule type="expression" dxfId="50" priority="12">
      <formula>$C222="Website"</formula>
    </cfRule>
    <cfRule type="expression" dxfId="49" priority="13">
      <formula>$C222="CitySightSeeing"</formula>
    </cfRule>
    <cfRule type="expression" dxfId="48" priority="14">
      <formula>$C222="Where To"</formula>
    </cfRule>
  </conditionalFormatting>
  <conditionalFormatting sqref="J225:J227">
    <cfRule type="expression" dxfId="47" priority="15">
      <formula>$C228="Outra"</formula>
    </cfRule>
    <cfRule type="expression" dxfId="46" priority="16">
      <formula>$C228="Website"</formula>
    </cfRule>
    <cfRule type="expression" dxfId="45" priority="17">
      <formula>$C228="CitySightSeeing"</formula>
    </cfRule>
    <cfRule type="expression" dxfId="44" priority="18">
      <formula>$C228="Where To"</formula>
    </cfRule>
  </conditionalFormatting>
  <conditionalFormatting sqref="K2:K231">
    <cfRule type="containsText" dxfId="43" priority="5" operator="containsText" text="Não">
      <formula>NOT(ISERROR(SEARCH("Não",K2)))</formula>
    </cfRule>
    <cfRule type="containsText" dxfId="42" priority="6" operator="containsText" text="Sim">
      <formula>NOT(ISERROR(SEARCH("Sim",K2)))</formula>
    </cfRule>
  </conditionalFormatting>
  <dataValidations count="4">
    <dataValidation type="list" allowBlank="1" showInputMessage="1" showErrorMessage="1" sqref="A2:A231 S34:S60" xr:uid="{225D84ED-2131-4087-9980-CE3ECFAE5B2D}">
      <formula1>$X$2:$X$33</formula1>
    </dataValidation>
    <dataValidation type="list" allowBlank="1" showInputMessage="1" showErrorMessage="1" sqref="V34:V60 J2:J231" xr:uid="{4AA8B4C3-410B-45FB-8E28-30F6BF69F877}">
      <formula1>$Y$3:$Y$15</formula1>
    </dataValidation>
    <dataValidation type="list" allowBlank="1" showInputMessage="1" showErrorMessage="1" sqref="C2:C231" xr:uid="{7B664E40-8EE9-4D24-9586-FF98FB0EC589}">
      <formula1>$N$2:$N$7</formula1>
    </dataValidation>
    <dataValidation type="list" allowBlank="1" showInputMessage="1" showErrorMessage="1" sqref="K2:L231" xr:uid="{BC7372FF-FC20-411A-850F-CA8B5F3CECEC}">
      <formula1>$W$2:$W$3</formula1>
    </dataValidation>
  </dataValidations>
  <pageMargins left="0.7" right="0.7" top="0.75" bottom="0.75" header="0.3" footer="0.3"/>
  <pageSetup scale="2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7DEF-CB51-4A5A-8F7A-0185679B56AF}">
  <sheetPr>
    <pageSetUpPr fitToPage="1"/>
  </sheetPr>
  <dimension ref="A1:BC615"/>
  <sheetViews>
    <sheetView tabSelected="1" topLeftCell="E1" zoomScale="92" zoomScaleNormal="82" workbookViewId="0">
      <pane ySplit="1" topLeftCell="A32" activePane="bottomLeft" state="frozen"/>
      <selection activeCell="F36" sqref="F36"/>
      <selection pane="bottomLeft" activeCell="T47" sqref="T47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4" width="12.5703125" hidden="1" customWidth="1"/>
    <col min="25" max="25" width="12.5703125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1</v>
      </c>
      <c r="B2" s="2">
        <v>510</v>
      </c>
      <c r="C2" s="133" t="s">
        <v>13</v>
      </c>
      <c r="D2" s="2">
        <v>2581</v>
      </c>
      <c r="E2" s="16" t="s">
        <v>296</v>
      </c>
      <c r="F2" s="2" t="s">
        <v>46</v>
      </c>
      <c r="G2" s="2">
        <v>2</v>
      </c>
      <c r="H2" s="3">
        <v>25</v>
      </c>
      <c r="I2" s="3">
        <v>8</v>
      </c>
      <c r="J2" s="3" t="s">
        <v>14</v>
      </c>
      <c r="K2" s="4" t="s">
        <v>15</v>
      </c>
      <c r="L2" s="5" t="s">
        <v>16</v>
      </c>
      <c r="M2" s="144"/>
      <c r="N2" s="61" t="s">
        <v>17</v>
      </c>
      <c r="O2" s="62">
        <f>SUMIFS(H2:H199,C2:C199,N2,L2:L199,"Sim")</f>
        <v>138</v>
      </c>
      <c r="P2" s="62">
        <f>O2*0.3</f>
        <v>41.4</v>
      </c>
      <c r="Q2" s="62">
        <f>SUMIFS(I2:I199,C2:C199,N2,K2:K199,"Sim")</f>
        <v>124.19999999999999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841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>
        <v>1</v>
      </c>
      <c r="B3" s="2" t="s">
        <v>820</v>
      </c>
      <c r="C3" s="133" t="s">
        <v>13</v>
      </c>
      <c r="D3" s="2">
        <v>2583</v>
      </c>
      <c r="E3" s="16" t="s">
        <v>821</v>
      </c>
      <c r="F3" s="2" t="s">
        <v>69</v>
      </c>
      <c r="G3" s="2">
        <v>4</v>
      </c>
      <c r="H3" s="3">
        <v>45</v>
      </c>
      <c r="I3" s="3">
        <v>12</v>
      </c>
      <c r="J3" s="3" t="s">
        <v>26</v>
      </c>
      <c r="K3" s="4" t="s">
        <v>15</v>
      </c>
      <c r="L3" s="5" t="s">
        <v>16</v>
      </c>
      <c r="M3" s="144"/>
      <c r="N3" s="67" t="s">
        <v>13</v>
      </c>
      <c r="O3" s="68">
        <f>SUMIFS(H2:H199,C2:C199,N3,L2:L199,"Não")</f>
        <v>1335</v>
      </c>
      <c r="P3" s="68">
        <f>SUMIFS(I2:I199,C2:C199,N3,L2:L199,"Não")</f>
        <v>388</v>
      </c>
      <c r="Q3" s="68">
        <f>SUMIFS(I2:I199,C2:C199,N3,K2:K199,"Sim")</f>
        <v>310</v>
      </c>
      <c r="R3" s="69">
        <f>SUMIFS(H2:H199,C2:C199,N3,K2:K199,"Sim")-Q3</f>
        <v>745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>
        <v>1</v>
      </c>
      <c r="B4" s="2" t="s">
        <v>643</v>
      </c>
      <c r="C4" s="133" t="s">
        <v>17</v>
      </c>
      <c r="D4" s="2">
        <v>3261</v>
      </c>
      <c r="E4" s="16" t="s">
        <v>644</v>
      </c>
      <c r="F4" s="2" t="s">
        <v>53</v>
      </c>
      <c r="G4" s="2">
        <v>1</v>
      </c>
      <c r="H4" s="3">
        <v>69</v>
      </c>
      <c r="I4" s="3">
        <v>20.7</v>
      </c>
      <c r="J4" s="3" t="s">
        <v>14</v>
      </c>
      <c r="K4" s="4" t="s">
        <v>15</v>
      </c>
      <c r="L4" s="5" t="s">
        <v>16</v>
      </c>
      <c r="M4" s="144"/>
      <c r="N4" s="67" t="s">
        <v>22</v>
      </c>
      <c r="O4" s="68">
        <f>SUMIFS(H2:H199,C2:C199,N4,L2:L199,"Não")</f>
        <v>204</v>
      </c>
      <c r="P4" s="68">
        <f>O4*0.25</f>
        <v>51</v>
      </c>
      <c r="Q4" s="68">
        <f>SUMIFS(I2:I198,C2:C198,N4,K2:K198,"Sim")</f>
        <v>51</v>
      </c>
      <c r="R4" s="69">
        <f>O4-P4</f>
        <v>153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>
        <v>1</v>
      </c>
      <c r="B5" s="2" t="s">
        <v>670</v>
      </c>
      <c r="C5" s="133" t="s">
        <v>23</v>
      </c>
      <c r="D5" s="2">
        <v>175137</v>
      </c>
      <c r="E5" s="16" t="s">
        <v>672</v>
      </c>
      <c r="F5" s="2" t="s">
        <v>671</v>
      </c>
      <c r="G5" s="2">
        <v>1</v>
      </c>
      <c r="H5" s="3">
        <v>39</v>
      </c>
      <c r="I5" s="3" t="s">
        <v>34</v>
      </c>
      <c r="J5" s="3" t="s">
        <v>18</v>
      </c>
      <c r="K5" s="4" t="s">
        <v>15</v>
      </c>
      <c r="L5" s="5" t="s">
        <v>16</v>
      </c>
      <c r="M5" s="144"/>
      <c r="N5" s="67" t="s">
        <v>23</v>
      </c>
      <c r="O5" s="68">
        <f>SUMIFS(H2:H199,C2:C199,N5,L2:L199,"Não")</f>
        <v>482</v>
      </c>
      <c r="P5" s="68">
        <f>O5*0.15</f>
        <v>72.3</v>
      </c>
      <c r="Q5" s="127"/>
      <c r="R5" s="128"/>
      <c r="S5" s="70" t="s">
        <v>37</v>
      </c>
      <c r="T5" s="71">
        <v>55</v>
      </c>
      <c r="U5" s="71">
        <v>15</v>
      </c>
      <c r="V5" s="72" t="s">
        <v>38</v>
      </c>
      <c r="W5" s="156" t="s">
        <v>47</v>
      </c>
      <c r="X5" s="160">
        <v>5</v>
      </c>
      <c r="Y5" s="161" t="s">
        <v>830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thickBot="1" x14ac:dyDescent="0.3">
      <c r="A6" s="1">
        <v>2</v>
      </c>
      <c r="B6" s="2">
        <v>605</v>
      </c>
      <c r="C6" s="133" t="s">
        <v>13</v>
      </c>
      <c r="D6" s="2">
        <v>2582</v>
      </c>
      <c r="E6" s="16" t="s">
        <v>460</v>
      </c>
      <c r="F6" s="2" t="s">
        <v>76</v>
      </c>
      <c r="G6" s="2">
        <v>2</v>
      </c>
      <c r="H6" s="3">
        <v>25</v>
      </c>
      <c r="I6" s="3">
        <v>8</v>
      </c>
      <c r="J6" s="3" t="s">
        <v>39</v>
      </c>
      <c r="K6" s="4" t="s">
        <v>15</v>
      </c>
      <c r="L6" s="5" t="s">
        <v>16</v>
      </c>
      <c r="M6" s="144"/>
      <c r="N6" s="73" t="s">
        <v>24</v>
      </c>
      <c r="O6" s="74">
        <f>SUMIFS(H2:H199,C2:C199,N6,L2:L199,"Não")</f>
        <v>170</v>
      </c>
      <c r="P6" s="74">
        <f>SUMIFS(I2:I199,C2:C199,N6,L2:L199,"Não")</f>
        <v>25.5</v>
      </c>
      <c r="Q6" s="129"/>
      <c r="R6" s="130"/>
      <c r="S6" s="297" t="s">
        <v>69</v>
      </c>
      <c r="T6" s="75" t="s">
        <v>40</v>
      </c>
      <c r="U6" s="75">
        <v>10</v>
      </c>
      <c r="V6" s="76" t="s">
        <v>21</v>
      </c>
      <c r="W6" s="156" t="s">
        <v>51</v>
      </c>
      <c r="X6" s="160">
        <v>6</v>
      </c>
      <c r="Y6" s="161" t="s">
        <v>39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>
        <v>2</v>
      </c>
      <c r="B7" s="2">
        <v>502</v>
      </c>
      <c r="C7" s="133" t="s">
        <v>13</v>
      </c>
      <c r="D7" s="2">
        <v>2584</v>
      </c>
      <c r="E7" s="16" t="s">
        <v>822</v>
      </c>
      <c r="F7" s="2" t="s">
        <v>46</v>
      </c>
      <c r="G7" s="2">
        <v>2</v>
      </c>
      <c r="H7" s="3">
        <v>25</v>
      </c>
      <c r="I7" s="3">
        <v>8</v>
      </c>
      <c r="J7" s="3" t="s">
        <v>26</v>
      </c>
      <c r="K7" s="4" t="s">
        <v>15</v>
      </c>
      <c r="L7" s="5" t="s">
        <v>16</v>
      </c>
      <c r="M7" s="144"/>
      <c r="N7" s="77" t="s">
        <v>25</v>
      </c>
      <c r="O7" s="78">
        <f>SUM(O2:O3)</f>
        <v>1473</v>
      </c>
      <c r="P7" s="78">
        <f>SUM(P2:P3)</f>
        <v>429.4</v>
      </c>
      <c r="Q7" s="79"/>
      <c r="R7" s="80">
        <f>SUM(R3+R4)</f>
        <v>898</v>
      </c>
      <c r="S7" s="298"/>
      <c r="T7" s="81">
        <v>55</v>
      </c>
      <c r="U7" s="82">
        <v>15</v>
      </c>
      <c r="V7" s="83" t="s">
        <v>21</v>
      </c>
      <c r="W7" s="154" t="s">
        <v>52</v>
      </c>
      <c r="X7" s="160">
        <v>7</v>
      </c>
      <c r="Y7" s="161" t="s">
        <v>41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>
        <v>2</v>
      </c>
      <c r="B8" s="17">
        <v>312</v>
      </c>
      <c r="C8" s="133" t="s">
        <v>13</v>
      </c>
      <c r="D8" s="2">
        <v>2585</v>
      </c>
      <c r="E8" s="16" t="s">
        <v>819</v>
      </c>
      <c r="F8" s="2" t="s">
        <v>46</v>
      </c>
      <c r="G8" s="2">
        <v>1</v>
      </c>
      <c r="H8" s="3">
        <v>25</v>
      </c>
      <c r="I8" s="3">
        <v>8</v>
      </c>
      <c r="J8" s="3" t="s">
        <v>42</v>
      </c>
      <c r="K8" s="4" t="s">
        <v>15</v>
      </c>
      <c r="L8" s="5" t="s">
        <v>16</v>
      </c>
      <c r="M8" s="144"/>
      <c r="N8" s="145"/>
      <c r="O8" s="146"/>
      <c r="P8" s="146"/>
      <c r="Q8" s="146"/>
      <c r="R8" s="146"/>
      <c r="S8" s="146"/>
      <c r="T8" s="146"/>
      <c r="U8" s="146"/>
      <c r="V8" s="143"/>
      <c r="W8" s="158" t="s">
        <v>49</v>
      </c>
      <c r="X8" s="160">
        <v>8</v>
      </c>
      <c r="Y8" s="161" t="s">
        <v>42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>
        <v>2</v>
      </c>
      <c r="B9" s="2">
        <v>321</v>
      </c>
      <c r="C9" s="133" t="s">
        <v>13</v>
      </c>
      <c r="D9" s="2">
        <v>2586</v>
      </c>
      <c r="E9" s="16" t="s">
        <v>823</v>
      </c>
      <c r="F9" s="2" t="s">
        <v>76</v>
      </c>
      <c r="G9" s="2">
        <v>4</v>
      </c>
      <c r="H9" s="3">
        <v>40</v>
      </c>
      <c r="I9" s="3">
        <v>12</v>
      </c>
      <c r="J9" s="3" t="s">
        <v>39</v>
      </c>
      <c r="K9" s="4" t="s">
        <v>15</v>
      </c>
      <c r="L9" s="5" t="s">
        <v>16</v>
      </c>
      <c r="M9" s="144"/>
      <c r="N9" s="299" t="s">
        <v>67</v>
      </c>
      <c r="O9" s="300"/>
      <c r="P9" s="301"/>
      <c r="Q9" s="273" t="s">
        <v>68</v>
      </c>
      <c r="R9" s="274"/>
      <c r="S9" s="274"/>
      <c r="T9" s="274"/>
      <c r="U9" s="275"/>
      <c r="V9" s="143"/>
      <c r="W9" s="157" t="s">
        <v>47</v>
      </c>
      <c r="X9" s="160">
        <v>9</v>
      </c>
      <c r="Y9" s="161" t="s">
        <v>33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x14ac:dyDescent="0.25">
      <c r="A10" s="1">
        <v>2</v>
      </c>
      <c r="B10" s="2" t="s">
        <v>826</v>
      </c>
      <c r="C10" s="133" t="s">
        <v>13</v>
      </c>
      <c r="D10" s="2">
        <v>2587</v>
      </c>
      <c r="E10" s="16" t="s">
        <v>460</v>
      </c>
      <c r="F10" s="2" t="s">
        <v>46</v>
      </c>
      <c r="G10" s="2">
        <v>4</v>
      </c>
      <c r="H10" s="3">
        <v>45</v>
      </c>
      <c r="I10" s="3">
        <v>12</v>
      </c>
      <c r="J10" s="3" t="s">
        <v>42</v>
      </c>
      <c r="K10" s="4" t="s">
        <v>15</v>
      </c>
      <c r="L10" s="5" t="s">
        <v>16</v>
      </c>
      <c r="M10" s="144"/>
      <c r="N10" s="302" t="s">
        <v>43</v>
      </c>
      <c r="O10" s="303"/>
      <c r="P10" s="304"/>
      <c r="Q10" s="305" t="s">
        <v>43</v>
      </c>
      <c r="R10" s="306"/>
      <c r="S10" s="307"/>
      <c r="T10" s="105" t="s">
        <v>61</v>
      </c>
      <c r="U10" s="106" t="s">
        <v>4</v>
      </c>
      <c r="V10" s="143"/>
      <c r="W10" s="157" t="s">
        <v>50</v>
      </c>
      <c r="X10" s="160">
        <v>10</v>
      </c>
      <c r="Y10" s="161" t="s">
        <v>827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>
        <v>2</v>
      </c>
      <c r="B11" s="2" t="s">
        <v>359</v>
      </c>
      <c r="C11" s="133" t="s">
        <v>23</v>
      </c>
      <c r="D11" s="2">
        <v>172583</v>
      </c>
      <c r="E11" s="16" t="s">
        <v>819</v>
      </c>
      <c r="F11" s="2" t="s">
        <v>76</v>
      </c>
      <c r="G11" s="2">
        <v>1</v>
      </c>
      <c r="H11" s="3">
        <v>22</v>
      </c>
      <c r="I11" s="3" t="s">
        <v>34</v>
      </c>
      <c r="J11" s="3" t="s">
        <v>132</v>
      </c>
      <c r="K11" s="4" t="s">
        <v>15</v>
      </c>
      <c r="L11" s="5" t="s">
        <v>16</v>
      </c>
      <c r="M11" s="144"/>
      <c r="N11" s="98">
        <v>500</v>
      </c>
      <c r="O11" s="7">
        <v>0</v>
      </c>
      <c r="P11" s="94">
        <f t="shared" ref="P11:P13" si="0">N11*O11</f>
        <v>0</v>
      </c>
      <c r="Q11" s="100">
        <v>500</v>
      </c>
      <c r="R11" s="35">
        <v>0</v>
      </c>
      <c r="S11" s="104">
        <f t="shared" ref="S11:S17" si="1">Q11*R11</f>
        <v>0</v>
      </c>
      <c r="T11" s="36" t="s">
        <v>62</v>
      </c>
      <c r="U11" s="37">
        <v>18.77</v>
      </c>
      <c r="V11" s="143"/>
      <c r="W11" s="157" t="s">
        <v>53</v>
      </c>
      <c r="X11" s="160">
        <v>11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thickBot="1" x14ac:dyDescent="0.3">
      <c r="A12" s="260">
        <v>2</v>
      </c>
      <c r="B12" s="261" t="s">
        <v>360</v>
      </c>
      <c r="C12" s="262" t="s">
        <v>13</v>
      </c>
      <c r="D12" s="261">
        <v>172591</v>
      </c>
      <c r="E12" s="263" t="s">
        <v>819</v>
      </c>
      <c r="F12" s="261" t="s">
        <v>824</v>
      </c>
      <c r="G12" s="261">
        <v>6</v>
      </c>
      <c r="H12" s="264">
        <v>55</v>
      </c>
      <c r="I12" s="264">
        <v>15</v>
      </c>
      <c r="J12" s="264" t="s">
        <v>26</v>
      </c>
      <c r="K12" s="4" t="s">
        <v>15</v>
      </c>
      <c r="L12" s="265" t="s">
        <v>16</v>
      </c>
      <c r="M12" s="144"/>
      <c r="N12" s="91">
        <v>200</v>
      </c>
      <c r="O12" s="7">
        <v>0</v>
      </c>
      <c r="P12" s="94">
        <f t="shared" si="0"/>
        <v>0</v>
      </c>
      <c r="Q12" s="91">
        <v>200</v>
      </c>
      <c r="R12" s="7">
        <v>0</v>
      </c>
      <c r="S12" s="103">
        <f t="shared" si="1"/>
        <v>0</v>
      </c>
      <c r="T12" s="28" t="s">
        <v>833</v>
      </c>
      <c r="U12" s="25">
        <v>14.95</v>
      </c>
      <c r="V12" s="143"/>
      <c r="W12" s="162" t="s">
        <v>54</v>
      </c>
      <c r="X12" s="160">
        <v>12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x14ac:dyDescent="0.25">
      <c r="A13" s="1">
        <v>3</v>
      </c>
      <c r="B13" s="2">
        <v>324</v>
      </c>
      <c r="C13" s="133" t="s">
        <v>13</v>
      </c>
      <c r="D13" s="2">
        <v>2588</v>
      </c>
      <c r="E13" s="16" t="s">
        <v>460</v>
      </c>
      <c r="F13" s="2" t="s">
        <v>521</v>
      </c>
      <c r="G13" s="2">
        <v>8</v>
      </c>
      <c r="H13" s="3">
        <v>55</v>
      </c>
      <c r="I13" s="3">
        <v>15</v>
      </c>
      <c r="J13" s="3" t="s">
        <v>827</v>
      </c>
      <c r="K13" s="4" t="s">
        <v>15</v>
      </c>
      <c r="L13" s="5" t="s">
        <v>16</v>
      </c>
      <c r="M13" s="144"/>
      <c r="N13" s="91">
        <v>100</v>
      </c>
      <c r="O13" s="7">
        <v>1</v>
      </c>
      <c r="P13" s="94">
        <f t="shared" si="0"/>
        <v>100</v>
      </c>
      <c r="Q13" s="91">
        <v>100</v>
      </c>
      <c r="R13" s="7">
        <v>0</v>
      </c>
      <c r="S13" s="103">
        <f t="shared" si="1"/>
        <v>0</v>
      </c>
      <c r="T13" s="38"/>
      <c r="U13" s="50"/>
      <c r="V13" s="143"/>
      <c r="W13" s="147"/>
      <c r="X13" s="160">
        <v>13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>
        <v>3</v>
      </c>
      <c r="B14" s="17">
        <v>422</v>
      </c>
      <c r="C14" s="133" t="s">
        <v>13</v>
      </c>
      <c r="D14" s="2">
        <v>2589</v>
      </c>
      <c r="E14" s="16" t="s">
        <v>322</v>
      </c>
      <c r="F14" s="2" t="s">
        <v>828</v>
      </c>
      <c r="G14" s="2">
        <v>2</v>
      </c>
      <c r="H14" s="3">
        <v>35</v>
      </c>
      <c r="I14" s="3">
        <v>10</v>
      </c>
      <c r="J14" s="3" t="s">
        <v>827</v>
      </c>
      <c r="K14" s="4" t="s">
        <v>15</v>
      </c>
      <c r="L14" s="5" t="s">
        <v>16</v>
      </c>
      <c r="M14" s="144"/>
      <c r="N14" s="91">
        <v>50</v>
      </c>
      <c r="O14" s="7">
        <v>12</v>
      </c>
      <c r="P14" s="94">
        <f>N14*O14</f>
        <v>600</v>
      </c>
      <c r="Q14" s="91">
        <v>50</v>
      </c>
      <c r="R14" s="7">
        <v>0</v>
      </c>
      <c r="S14" s="103">
        <f t="shared" si="1"/>
        <v>0</v>
      </c>
      <c r="T14" s="28"/>
      <c r="U14" s="51"/>
      <c r="V14" s="143"/>
      <c r="W14" s="147"/>
      <c r="X14" s="160">
        <v>14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>
        <v>3</v>
      </c>
      <c r="B15" s="2">
        <v>412</v>
      </c>
      <c r="C15" s="133" t="s">
        <v>13</v>
      </c>
      <c r="D15" s="2">
        <v>2590</v>
      </c>
      <c r="E15" s="16" t="s">
        <v>322</v>
      </c>
      <c r="F15" s="2" t="s">
        <v>76</v>
      </c>
      <c r="G15" s="2">
        <v>1</v>
      </c>
      <c r="H15" s="3">
        <v>25</v>
      </c>
      <c r="I15" s="3">
        <v>8</v>
      </c>
      <c r="J15" s="3" t="s">
        <v>830</v>
      </c>
      <c r="K15" s="4" t="s">
        <v>15</v>
      </c>
      <c r="L15" s="5" t="s">
        <v>16</v>
      </c>
      <c r="M15" s="144"/>
      <c r="N15" s="91">
        <v>20</v>
      </c>
      <c r="O15" s="7">
        <v>9</v>
      </c>
      <c r="P15" s="94">
        <f>N15*O15</f>
        <v>180</v>
      </c>
      <c r="Q15" s="91">
        <v>20</v>
      </c>
      <c r="R15" s="7">
        <v>2</v>
      </c>
      <c r="S15" s="103">
        <f t="shared" si="1"/>
        <v>40</v>
      </c>
      <c r="T15" s="28"/>
      <c r="U15" s="51"/>
      <c r="V15" s="143"/>
      <c r="W15" s="147"/>
      <c r="X15" s="160">
        <v>15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>
        <v>3</v>
      </c>
      <c r="B16" s="2" t="s">
        <v>836</v>
      </c>
      <c r="C16" s="133" t="s">
        <v>13</v>
      </c>
      <c r="D16" s="2">
        <v>2592</v>
      </c>
      <c r="E16" s="16" t="s">
        <v>139</v>
      </c>
      <c r="F16" s="2" t="s">
        <v>76</v>
      </c>
      <c r="G16" s="2">
        <v>4</v>
      </c>
      <c r="H16" s="3">
        <v>40</v>
      </c>
      <c r="I16" s="3">
        <v>12</v>
      </c>
      <c r="J16" s="3" t="s">
        <v>26</v>
      </c>
      <c r="K16" s="4" t="s">
        <v>15</v>
      </c>
      <c r="L16" s="5" t="s">
        <v>16</v>
      </c>
      <c r="M16" s="144"/>
      <c r="N16" s="91">
        <v>10</v>
      </c>
      <c r="O16" s="7">
        <v>1</v>
      </c>
      <c r="P16" s="94">
        <f t="shared" ref="P16" si="2">N16*O16</f>
        <v>10</v>
      </c>
      <c r="Q16" s="91">
        <v>10</v>
      </c>
      <c r="R16" s="7">
        <v>1</v>
      </c>
      <c r="S16" s="103">
        <f t="shared" si="1"/>
        <v>10</v>
      </c>
      <c r="T16" s="38"/>
      <c r="U16" s="50"/>
      <c r="V16" s="143"/>
      <c r="W16" s="147"/>
      <c r="X16" s="160">
        <v>13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>
        <v>3</v>
      </c>
      <c r="B17" s="2">
        <v>508</v>
      </c>
      <c r="C17" s="133" t="s">
        <v>13</v>
      </c>
      <c r="D17" s="2">
        <v>2594</v>
      </c>
      <c r="E17" s="16" t="s">
        <v>110</v>
      </c>
      <c r="F17" s="2" t="s">
        <v>76</v>
      </c>
      <c r="G17" s="2">
        <v>2</v>
      </c>
      <c r="H17" s="3">
        <v>25</v>
      </c>
      <c r="I17" s="3">
        <v>8</v>
      </c>
      <c r="J17" s="3" t="s">
        <v>26</v>
      </c>
      <c r="K17" s="4" t="s">
        <v>15</v>
      </c>
      <c r="L17" s="5" t="s">
        <v>16</v>
      </c>
      <c r="M17" s="144"/>
      <c r="N17" s="91">
        <v>5</v>
      </c>
      <c r="O17" s="7">
        <v>1</v>
      </c>
      <c r="P17" s="94">
        <f>N17*O17</f>
        <v>5</v>
      </c>
      <c r="Q17" s="91">
        <v>5</v>
      </c>
      <c r="R17" s="268">
        <v>1</v>
      </c>
      <c r="S17" s="103">
        <f t="shared" si="1"/>
        <v>5</v>
      </c>
      <c r="T17" s="38"/>
      <c r="U17" s="50"/>
      <c r="V17" s="143"/>
      <c r="W17" s="147"/>
      <c r="X17" s="160">
        <v>13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thickBot="1" x14ac:dyDescent="0.3">
      <c r="A18" s="1">
        <v>3</v>
      </c>
      <c r="B18" s="2" t="s">
        <v>825</v>
      </c>
      <c r="C18" s="133" t="s">
        <v>17</v>
      </c>
      <c r="D18" s="2">
        <v>3271</v>
      </c>
      <c r="E18" s="16" t="s">
        <v>96</v>
      </c>
      <c r="F18" s="2" t="s">
        <v>53</v>
      </c>
      <c r="G18" s="2">
        <v>2</v>
      </c>
      <c r="H18" s="3">
        <v>138</v>
      </c>
      <c r="I18" s="3">
        <v>41.4</v>
      </c>
      <c r="J18" s="3" t="s">
        <v>39</v>
      </c>
      <c r="K18" s="4" t="s">
        <v>15</v>
      </c>
      <c r="L18" s="5" t="s">
        <v>15</v>
      </c>
      <c r="M18" s="144"/>
      <c r="N18" s="308"/>
      <c r="O18" s="309"/>
      <c r="P18" s="99">
        <f>SUM(P11:P17)</f>
        <v>895</v>
      </c>
      <c r="Q18" s="310"/>
      <c r="R18" s="311"/>
      <c r="S18" s="107">
        <f>SUM(S11:S17)</f>
        <v>55</v>
      </c>
      <c r="T18" s="28"/>
      <c r="U18" s="25"/>
      <c r="V18" s="143"/>
      <c r="W18" s="147"/>
      <c r="X18" s="160">
        <v>18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x14ac:dyDescent="0.25">
      <c r="A19" s="1">
        <v>3</v>
      </c>
      <c r="B19" s="2" t="s">
        <v>361</v>
      </c>
      <c r="C19" s="133" t="s">
        <v>23</v>
      </c>
      <c r="D19" s="2">
        <v>172062</v>
      </c>
      <c r="E19" s="16" t="s">
        <v>370</v>
      </c>
      <c r="F19" s="2" t="s">
        <v>135</v>
      </c>
      <c r="G19" s="2">
        <v>4</v>
      </c>
      <c r="H19" s="3">
        <v>50</v>
      </c>
      <c r="I19" s="3" t="s">
        <v>271</v>
      </c>
      <c r="J19" s="3" t="s">
        <v>18</v>
      </c>
      <c r="K19" s="4" t="s">
        <v>15</v>
      </c>
      <c r="L19" s="5" t="s">
        <v>16</v>
      </c>
      <c r="M19" s="144"/>
      <c r="N19" s="312" t="s">
        <v>44</v>
      </c>
      <c r="O19" s="313"/>
      <c r="P19" s="314"/>
      <c r="Q19" s="315" t="s">
        <v>44</v>
      </c>
      <c r="R19" s="316"/>
      <c r="S19" s="317"/>
      <c r="T19" s="28"/>
      <c r="U19" s="25"/>
      <c r="V19" s="143"/>
      <c r="W19" s="147"/>
      <c r="X19" s="160">
        <v>19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>
        <v>3</v>
      </c>
      <c r="B20" s="2" t="s">
        <v>34</v>
      </c>
      <c r="C20" s="133" t="s">
        <v>22</v>
      </c>
      <c r="D20" s="2" t="s">
        <v>34</v>
      </c>
      <c r="E20" s="16" t="s">
        <v>34</v>
      </c>
      <c r="F20" s="2" t="s">
        <v>834</v>
      </c>
      <c r="G20" s="2">
        <v>2</v>
      </c>
      <c r="H20" s="3">
        <v>72</v>
      </c>
      <c r="I20" s="3">
        <v>18</v>
      </c>
      <c r="J20" s="3" t="s">
        <v>26</v>
      </c>
      <c r="K20" s="4" t="s">
        <v>15</v>
      </c>
      <c r="L20" s="5" t="s">
        <v>16</v>
      </c>
      <c r="M20" s="144"/>
      <c r="N20" s="100">
        <v>2</v>
      </c>
      <c r="O20" s="35">
        <v>0</v>
      </c>
      <c r="P20" s="96">
        <f t="shared" ref="P20:P27" si="3">N20*O20</f>
        <v>0</v>
      </c>
      <c r="Q20" s="100">
        <v>2</v>
      </c>
      <c r="R20" s="35">
        <v>1</v>
      </c>
      <c r="S20" s="102">
        <f>Q20*R20</f>
        <v>2</v>
      </c>
      <c r="T20" s="28"/>
      <c r="U20" s="25"/>
      <c r="V20" s="143"/>
      <c r="W20" s="147"/>
      <c r="X20" s="160">
        <v>20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>
        <v>3</v>
      </c>
      <c r="B21" s="2" t="s">
        <v>34</v>
      </c>
      <c r="C21" s="133" t="s">
        <v>22</v>
      </c>
      <c r="D21" s="2" t="s">
        <v>34</v>
      </c>
      <c r="E21" s="2" t="s">
        <v>34</v>
      </c>
      <c r="F21" s="2" t="s">
        <v>835</v>
      </c>
      <c r="G21" s="2">
        <v>2</v>
      </c>
      <c r="H21" s="3">
        <v>66</v>
      </c>
      <c r="I21" s="3">
        <v>16.5</v>
      </c>
      <c r="J21" s="3" t="s">
        <v>26</v>
      </c>
      <c r="K21" s="2" t="s">
        <v>15</v>
      </c>
      <c r="L21" s="5" t="s">
        <v>16</v>
      </c>
      <c r="M21" s="144"/>
      <c r="N21" s="91">
        <v>1</v>
      </c>
      <c r="O21" s="7">
        <v>2</v>
      </c>
      <c r="P21" s="94">
        <f t="shared" si="3"/>
        <v>2</v>
      </c>
      <c r="Q21" s="91">
        <v>1</v>
      </c>
      <c r="R21" s="7">
        <v>6</v>
      </c>
      <c r="S21" s="103">
        <f t="shared" ref="S21:S27" si="4">Q21*R21</f>
        <v>6</v>
      </c>
      <c r="T21" s="28"/>
      <c r="U21" s="25"/>
      <c r="V21" s="143"/>
      <c r="W21" s="147"/>
      <c r="X21" s="160">
        <v>21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>
        <v>4</v>
      </c>
      <c r="B22" s="2">
        <v>401</v>
      </c>
      <c r="C22" s="133" t="s">
        <v>13</v>
      </c>
      <c r="D22" s="2">
        <v>2585</v>
      </c>
      <c r="E22" s="16" t="s">
        <v>159</v>
      </c>
      <c r="F22" s="2" t="s">
        <v>76</v>
      </c>
      <c r="G22" s="2">
        <v>2</v>
      </c>
      <c r="H22" s="3">
        <v>25</v>
      </c>
      <c r="I22" s="3">
        <v>8</v>
      </c>
      <c r="J22" s="3" t="s">
        <v>26</v>
      </c>
      <c r="K22" s="4" t="s">
        <v>15</v>
      </c>
      <c r="L22" s="5" t="s">
        <v>16</v>
      </c>
      <c r="M22" s="144"/>
      <c r="N22" s="91">
        <v>0.5</v>
      </c>
      <c r="O22" s="7">
        <v>2</v>
      </c>
      <c r="P22" s="94">
        <f t="shared" si="3"/>
        <v>1</v>
      </c>
      <c r="Q22" s="91">
        <v>0.5</v>
      </c>
      <c r="R22" s="7">
        <v>13</v>
      </c>
      <c r="S22" s="103">
        <f t="shared" si="4"/>
        <v>6.5</v>
      </c>
      <c r="T22" s="28"/>
      <c r="U22" s="25"/>
      <c r="V22" s="143"/>
      <c r="W22" s="147"/>
      <c r="X22" s="160">
        <v>22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.75" customHeight="1" thickBot="1" x14ac:dyDescent="0.3">
      <c r="A23" s="1">
        <v>4</v>
      </c>
      <c r="B23" s="2">
        <v>104</v>
      </c>
      <c r="C23" s="133" t="s">
        <v>13</v>
      </c>
      <c r="D23" s="2">
        <v>2597</v>
      </c>
      <c r="E23" s="16" t="s">
        <v>127</v>
      </c>
      <c r="F23" s="2" t="s">
        <v>76</v>
      </c>
      <c r="G23" s="2">
        <v>2</v>
      </c>
      <c r="H23" s="3">
        <v>25</v>
      </c>
      <c r="I23" s="3">
        <v>8</v>
      </c>
      <c r="J23" s="3" t="s">
        <v>42</v>
      </c>
      <c r="K23" s="4" t="s">
        <v>15</v>
      </c>
      <c r="L23" s="5" t="s">
        <v>16</v>
      </c>
      <c r="M23" s="144"/>
      <c r="N23" s="91">
        <v>0.2</v>
      </c>
      <c r="O23" s="7">
        <v>0</v>
      </c>
      <c r="P23" s="94">
        <f t="shared" si="3"/>
        <v>0</v>
      </c>
      <c r="Q23" s="91">
        <v>0.2</v>
      </c>
      <c r="R23" s="7">
        <v>2</v>
      </c>
      <c r="S23" s="103">
        <f t="shared" si="4"/>
        <v>0.4</v>
      </c>
      <c r="T23" s="33"/>
      <c r="U23" s="34"/>
      <c r="V23" s="143"/>
      <c r="W23" s="147"/>
      <c r="X23" s="160">
        <v>23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x14ac:dyDescent="0.25">
      <c r="A24" s="1">
        <v>4</v>
      </c>
      <c r="B24" s="2">
        <v>601</v>
      </c>
      <c r="C24" s="133" t="s">
        <v>13</v>
      </c>
      <c r="D24" s="2">
        <v>2649</v>
      </c>
      <c r="E24" s="16" t="s">
        <v>242</v>
      </c>
      <c r="F24" s="2" t="s">
        <v>76</v>
      </c>
      <c r="G24" s="2">
        <v>2</v>
      </c>
      <c r="H24" s="3">
        <v>25</v>
      </c>
      <c r="I24" s="3">
        <v>8</v>
      </c>
      <c r="J24" s="3" t="s">
        <v>827</v>
      </c>
      <c r="K24" s="4" t="s">
        <v>15</v>
      </c>
      <c r="L24" s="5" t="s">
        <v>16</v>
      </c>
      <c r="M24" s="144"/>
      <c r="N24" s="91">
        <v>0.1</v>
      </c>
      <c r="O24" s="7">
        <v>0</v>
      </c>
      <c r="P24" s="94">
        <f t="shared" si="3"/>
        <v>0</v>
      </c>
      <c r="Q24" s="91">
        <v>0.1</v>
      </c>
      <c r="R24" s="7">
        <v>0</v>
      </c>
      <c r="S24" s="96">
        <f t="shared" si="4"/>
        <v>0</v>
      </c>
      <c r="T24" s="109" t="s">
        <v>63</v>
      </c>
      <c r="U24" s="110">
        <f>SUM(U11:U23)</f>
        <v>33.72</v>
      </c>
      <c r="V24" s="143"/>
      <c r="W24" s="147"/>
      <c r="X24" s="160">
        <v>24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thickBot="1" x14ac:dyDescent="0.3">
      <c r="A25" s="1">
        <v>4</v>
      </c>
      <c r="B25" s="2">
        <v>407</v>
      </c>
      <c r="C25" s="133" t="s">
        <v>13</v>
      </c>
      <c r="D25" s="2">
        <v>175802</v>
      </c>
      <c r="E25" s="16" t="s">
        <v>832</v>
      </c>
      <c r="F25" s="2" t="s">
        <v>521</v>
      </c>
      <c r="G25" s="2">
        <v>2</v>
      </c>
      <c r="H25" s="3">
        <v>25</v>
      </c>
      <c r="I25" s="3">
        <v>8</v>
      </c>
      <c r="J25" s="3" t="s">
        <v>827</v>
      </c>
      <c r="K25" s="4" t="s">
        <v>15</v>
      </c>
      <c r="L25" s="5" t="s">
        <v>16</v>
      </c>
      <c r="M25" s="144"/>
      <c r="N25" s="91">
        <v>0.05</v>
      </c>
      <c r="O25" s="7">
        <v>0</v>
      </c>
      <c r="P25" s="94">
        <f t="shared" si="3"/>
        <v>0</v>
      </c>
      <c r="Q25" s="91">
        <v>0.05</v>
      </c>
      <c r="R25" s="7">
        <v>2</v>
      </c>
      <c r="S25" s="94">
        <f t="shared" si="4"/>
        <v>0.1</v>
      </c>
      <c r="T25" s="111" t="s">
        <v>64</v>
      </c>
      <c r="U25" s="108">
        <v>103.72</v>
      </c>
      <c r="V25" s="143"/>
      <c r="W25" s="147"/>
      <c r="X25" s="160">
        <v>25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x14ac:dyDescent="0.3">
      <c r="A26" s="1">
        <v>5</v>
      </c>
      <c r="B26" s="267" t="s">
        <v>839</v>
      </c>
      <c r="C26" s="133" t="s">
        <v>13</v>
      </c>
      <c r="D26" s="2">
        <v>2598</v>
      </c>
      <c r="E26" s="18" t="s">
        <v>430</v>
      </c>
      <c r="F26" s="2" t="s">
        <v>844</v>
      </c>
      <c r="G26" s="2">
        <v>1</v>
      </c>
      <c r="H26" s="3">
        <v>35</v>
      </c>
      <c r="I26" s="3">
        <v>10</v>
      </c>
      <c r="J26" s="3" t="s">
        <v>841</v>
      </c>
      <c r="K26" s="4" t="s">
        <v>15</v>
      </c>
      <c r="L26" s="5" t="s">
        <v>16</v>
      </c>
      <c r="M26" s="144"/>
      <c r="N26" s="91">
        <v>0.02</v>
      </c>
      <c r="O26" s="7">
        <v>0</v>
      </c>
      <c r="P26" s="94">
        <f t="shared" si="3"/>
        <v>0</v>
      </c>
      <c r="Q26" s="91">
        <v>0.02</v>
      </c>
      <c r="R26" s="7">
        <v>0</v>
      </c>
      <c r="S26" s="94">
        <f t="shared" si="4"/>
        <v>0</v>
      </c>
      <c r="T26" s="315" t="s">
        <v>65</v>
      </c>
      <c r="U26" s="317"/>
      <c r="V26" s="143"/>
      <c r="W26" s="147"/>
      <c r="X26" s="160">
        <v>26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thickBot="1" x14ac:dyDescent="0.3">
      <c r="A27" s="1">
        <v>5</v>
      </c>
      <c r="B27" s="17">
        <v>212</v>
      </c>
      <c r="C27" s="133" t="s">
        <v>13</v>
      </c>
      <c r="D27" s="2">
        <v>2599</v>
      </c>
      <c r="E27" s="16" t="s">
        <v>192</v>
      </c>
      <c r="F27" s="2" t="s">
        <v>76</v>
      </c>
      <c r="G27" s="2">
        <v>1</v>
      </c>
      <c r="H27" s="3">
        <v>25</v>
      </c>
      <c r="I27" s="3">
        <v>8</v>
      </c>
      <c r="J27" s="3" t="s">
        <v>39</v>
      </c>
      <c r="K27" s="4" t="s">
        <v>15</v>
      </c>
      <c r="L27" s="5" t="s">
        <v>16</v>
      </c>
      <c r="M27" s="144"/>
      <c r="N27" s="91">
        <v>0.01</v>
      </c>
      <c r="O27" s="7">
        <v>0</v>
      </c>
      <c r="P27" s="94">
        <f t="shared" si="3"/>
        <v>0</v>
      </c>
      <c r="Q27" s="92">
        <v>0.01</v>
      </c>
      <c r="R27" s="26">
        <v>0</v>
      </c>
      <c r="S27" s="95">
        <f t="shared" si="4"/>
        <v>0</v>
      </c>
      <c r="T27" s="286">
        <f>S18+S28+U24-U25</f>
        <v>0</v>
      </c>
      <c r="U27" s="287"/>
      <c r="V27" s="143"/>
      <c r="W27" s="147"/>
      <c r="X27" s="160">
        <v>27</v>
      </c>
      <c r="Y27" s="147"/>
      <c r="Z27" s="143"/>
      <c r="AA27" s="143"/>
      <c r="AB27" s="143" t="s">
        <v>34</v>
      </c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>
        <v>5</v>
      </c>
      <c r="B28" s="2">
        <v>212</v>
      </c>
      <c r="C28" s="133" t="s">
        <v>13</v>
      </c>
      <c r="D28" s="2">
        <v>2600</v>
      </c>
      <c r="E28" s="18" t="s">
        <v>153</v>
      </c>
      <c r="F28" s="2" t="s">
        <v>76</v>
      </c>
      <c r="G28" s="2">
        <v>1</v>
      </c>
      <c r="H28" s="3">
        <v>25</v>
      </c>
      <c r="I28" s="3">
        <v>8</v>
      </c>
      <c r="J28" s="3" t="s">
        <v>39</v>
      </c>
      <c r="K28" s="4" t="s">
        <v>15</v>
      </c>
      <c r="L28" s="5" t="s">
        <v>16</v>
      </c>
      <c r="M28" s="144"/>
      <c r="N28" s="290"/>
      <c r="O28" s="291"/>
      <c r="P28" s="101">
        <f>SUM(P20:P27)</f>
        <v>3</v>
      </c>
      <c r="Q28" s="292"/>
      <c r="R28" s="293"/>
      <c r="S28" s="108">
        <f>SUM(S20:S27)</f>
        <v>15</v>
      </c>
      <c r="T28" s="288"/>
      <c r="U28" s="289"/>
      <c r="V28" s="143"/>
      <c r="W28" s="147"/>
      <c r="X28" s="160">
        <v>28</v>
      </c>
      <c r="Y28" s="147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>
        <v>6</v>
      </c>
      <c r="B29" s="2" t="s">
        <v>420</v>
      </c>
      <c r="C29" s="133" t="s">
        <v>13</v>
      </c>
      <c r="D29" s="2">
        <v>2551</v>
      </c>
      <c r="E29" s="16" t="s">
        <v>117</v>
      </c>
      <c r="F29" s="2" t="s">
        <v>76</v>
      </c>
      <c r="G29" s="2">
        <v>3</v>
      </c>
      <c r="H29" s="3">
        <v>35</v>
      </c>
      <c r="I29" s="3">
        <v>10</v>
      </c>
      <c r="J29" s="3" t="s">
        <v>830</v>
      </c>
      <c r="K29" s="4" t="s">
        <v>15</v>
      </c>
      <c r="L29" s="5" t="s">
        <v>16</v>
      </c>
      <c r="M29" s="144"/>
      <c r="N29" s="271" t="s">
        <v>25</v>
      </c>
      <c r="O29" s="272"/>
      <c r="P29" s="112">
        <f>SUM(P18+P28-R7)</f>
        <v>0</v>
      </c>
      <c r="Q29" s="163"/>
      <c r="R29" s="164"/>
      <c r="S29" s="164"/>
      <c r="T29" s="148"/>
      <c r="U29" s="148"/>
      <c r="V29" s="148"/>
      <c r="W29" s="147"/>
      <c r="X29" s="160">
        <v>29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>
        <v>6</v>
      </c>
      <c r="B30" s="2" t="s">
        <v>851</v>
      </c>
      <c r="C30" s="133" t="s">
        <v>13</v>
      </c>
      <c r="D30" s="2">
        <v>2653</v>
      </c>
      <c r="E30" s="16" t="s">
        <v>344</v>
      </c>
      <c r="F30" s="2" t="s">
        <v>76</v>
      </c>
      <c r="G30" s="2">
        <v>3</v>
      </c>
      <c r="H30" s="3">
        <v>35</v>
      </c>
      <c r="I30" s="3"/>
      <c r="J30" s="3" t="s">
        <v>26</v>
      </c>
      <c r="K30" s="4" t="s">
        <v>15</v>
      </c>
      <c r="L30" s="5" t="s">
        <v>16</v>
      </c>
      <c r="M30" s="144"/>
      <c r="N30" s="149"/>
      <c r="O30" s="150"/>
      <c r="P30" s="150"/>
      <c r="Q30" s="150"/>
      <c r="R30" s="150"/>
      <c r="S30" s="150"/>
      <c r="T30" s="150"/>
      <c r="U30" s="150"/>
      <c r="V30" s="150"/>
      <c r="W30" s="147"/>
      <c r="X30" s="160">
        <v>30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>
        <v>6</v>
      </c>
      <c r="B31" s="2" t="s">
        <v>362</v>
      </c>
      <c r="C31" s="133" t="s">
        <v>23</v>
      </c>
      <c r="D31" s="2">
        <v>168101</v>
      </c>
      <c r="E31" s="16" t="s">
        <v>219</v>
      </c>
      <c r="F31" s="2" t="s">
        <v>76</v>
      </c>
      <c r="G31" s="2">
        <v>2</v>
      </c>
      <c r="H31" s="3">
        <v>22</v>
      </c>
      <c r="I31" s="3" t="s">
        <v>34</v>
      </c>
      <c r="J31" s="3" t="s">
        <v>132</v>
      </c>
      <c r="K31" s="4" t="s">
        <v>15</v>
      </c>
      <c r="L31" s="5" t="s">
        <v>16</v>
      </c>
      <c r="M31" s="144"/>
      <c r="N31" s="273" t="s">
        <v>66</v>
      </c>
      <c r="O31" s="274"/>
      <c r="P31" s="274"/>
      <c r="Q31" s="274"/>
      <c r="R31" s="275"/>
      <c r="S31" s="273" t="s">
        <v>73</v>
      </c>
      <c r="T31" s="274"/>
      <c r="U31" s="274"/>
      <c r="V31" s="275"/>
      <c r="W31" s="143"/>
      <c r="X31" s="162">
        <v>31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>
        <v>7</v>
      </c>
      <c r="B32" s="2">
        <v>218</v>
      </c>
      <c r="C32" s="133" t="s">
        <v>13</v>
      </c>
      <c r="D32" s="2">
        <v>2652</v>
      </c>
      <c r="E32" s="16" t="s">
        <v>853</v>
      </c>
      <c r="F32" s="2" t="s">
        <v>76</v>
      </c>
      <c r="G32" s="2">
        <v>2</v>
      </c>
      <c r="H32" s="3">
        <v>25</v>
      </c>
      <c r="I32" s="3">
        <v>8</v>
      </c>
      <c r="J32" s="3" t="s">
        <v>26</v>
      </c>
      <c r="K32" s="4" t="s">
        <v>15</v>
      </c>
      <c r="L32" s="5" t="s">
        <v>16</v>
      </c>
      <c r="M32" s="144"/>
      <c r="N32" s="276" t="s">
        <v>43</v>
      </c>
      <c r="O32" s="277"/>
      <c r="P32" s="278"/>
      <c r="Q32" s="113" t="s">
        <v>58</v>
      </c>
      <c r="R32" s="114" t="s">
        <v>4</v>
      </c>
      <c r="S32" s="135" t="s">
        <v>0</v>
      </c>
      <c r="T32" s="136" t="s">
        <v>58</v>
      </c>
      <c r="U32" s="137" t="s">
        <v>4</v>
      </c>
      <c r="V32" s="138" t="s">
        <v>6</v>
      </c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x14ac:dyDescent="0.25">
      <c r="A33" s="1">
        <v>7</v>
      </c>
      <c r="B33" s="2">
        <v>230</v>
      </c>
      <c r="C33" s="133" t="s">
        <v>13</v>
      </c>
      <c r="D33" s="2">
        <v>2654</v>
      </c>
      <c r="E33" s="18" t="s">
        <v>855</v>
      </c>
      <c r="F33" s="2" t="s">
        <v>521</v>
      </c>
      <c r="G33" s="2">
        <v>2</v>
      </c>
      <c r="H33" s="3">
        <v>25</v>
      </c>
      <c r="I33" s="3">
        <v>8</v>
      </c>
      <c r="J33" s="3" t="s">
        <v>827</v>
      </c>
      <c r="K33" s="4" t="s">
        <v>15</v>
      </c>
      <c r="L33" s="5" t="s">
        <v>16</v>
      </c>
      <c r="M33" s="144"/>
      <c r="N33" s="100">
        <v>500</v>
      </c>
      <c r="O33" s="35">
        <v>0</v>
      </c>
      <c r="P33" s="96">
        <f t="shared" ref="P33" si="5">N33*O33</f>
        <v>0</v>
      </c>
      <c r="Q33" s="38" t="s">
        <v>18</v>
      </c>
      <c r="R33" s="39">
        <v>1.7</v>
      </c>
      <c r="S33" s="84"/>
      <c r="T33" s="85" t="s">
        <v>17</v>
      </c>
      <c r="U33" s="86">
        <f>Q2</f>
        <v>124.19999999999999</v>
      </c>
      <c r="V33" s="6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>
        <v>7</v>
      </c>
      <c r="B34" s="2">
        <v>319</v>
      </c>
      <c r="C34" s="133" t="s">
        <v>13</v>
      </c>
      <c r="D34" s="2">
        <v>2655</v>
      </c>
      <c r="E34" s="18" t="s">
        <v>855</v>
      </c>
      <c r="F34" s="2" t="s">
        <v>802</v>
      </c>
      <c r="G34" s="2">
        <v>1</v>
      </c>
      <c r="H34" s="3">
        <v>25</v>
      </c>
      <c r="I34" s="3">
        <v>8</v>
      </c>
      <c r="J34" s="3" t="s">
        <v>827</v>
      </c>
      <c r="K34" s="4" t="s">
        <v>15</v>
      </c>
      <c r="L34" s="5" t="s">
        <v>16</v>
      </c>
      <c r="M34" s="144"/>
      <c r="N34" s="91">
        <v>200</v>
      </c>
      <c r="O34" s="7">
        <v>0</v>
      </c>
      <c r="P34" s="94">
        <f>N34*O34</f>
        <v>0</v>
      </c>
      <c r="Q34" s="28"/>
      <c r="R34" s="25"/>
      <c r="S34" s="87"/>
      <c r="T34" s="88" t="s">
        <v>13</v>
      </c>
      <c r="U34" s="89">
        <f>Q3</f>
        <v>310</v>
      </c>
      <c r="V34" s="69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>
        <v>7</v>
      </c>
      <c r="B35" s="2">
        <v>216</v>
      </c>
      <c r="C35" s="133" t="s">
        <v>13</v>
      </c>
      <c r="D35" s="2">
        <v>2656</v>
      </c>
      <c r="E35" s="18" t="s">
        <v>855</v>
      </c>
      <c r="F35" s="2" t="s">
        <v>802</v>
      </c>
      <c r="G35" s="2">
        <v>1</v>
      </c>
      <c r="H35" s="3">
        <v>25</v>
      </c>
      <c r="I35" s="8">
        <v>8</v>
      </c>
      <c r="J35" s="3" t="s">
        <v>39</v>
      </c>
      <c r="K35" s="4" t="s">
        <v>15</v>
      </c>
      <c r="L35" s="5" t="s">
        <v>16</v>
      </c>
      <c r="M35" s="144"/>
      <c r="N35" s="91">
        <v>100</v>
      </c>
      <c r="O35" s="7">
        <v>0</v>
      </c>
      <c r="P35" s="94">
        <f>N35*O35</f>
        <v>0</v>
      </c>
      <c r="Q35" s="28"/>
      <c r="R35" s="25"/>
      <c r="S35" s="87"/>
      <c r="T35" s="88" t="s">
        <v>22</v>
      </c>
      <c r="U35" s="89">
        <f>Q4</f>
        <v>51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>
        <v>7</v>
      </c>
      <c r="B36" s="2" t="s">
        <v>532</v>
      </c>
      <c r="C36" s="133" t="s">
        <v>13</v>
      </c>
      <c r="D36" s="2">
        <v>2888</v>
      </c>
      <c r="E36" s="16" t="s">
        <v>854</v>
      </c>
      <c r="F36" s="2" t="s">
        <v>103</v>
      </c>
      <c r="G36" s="2">
        <v>2</v>
      </c>
      <c r="H36" s="3">
        <v>35</v>
      </c>
      <c r="I36" s="8">
        <v>10</v>
      </c>
      <c r="J36" s="3" t="s">
        <v>18</v>
      </c>
      <c r="K36" s="4" t="s">
        <v>15</v>
      </c>
      <c r="L36" s="5" t="s">
        <v>16</v>
      </c>
      <c r="M36" s="144"/>
      <c r="N36" s="91">
        <v>50</v>
      </c>
      <c r="O36" s="7">
        <v>2</v>
      </c>
      <c r="P36" s="94">
        <f>N36*O36</f>
        <v>100</v>
      </c>
      <c r="Q36" s="30"/>
      <c r="R36" s="25"/>
      <c r="S36" s="139"/>
      <c r="T36" s="140" t="s">
        <v>72</v>
      </c>
      <c r="U36" s="141">
        <v>237.6</v>
      </c>
      <c r="V36" s="142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>
        <v>7</v>
      </c>
      <c r="B37" s="2">
        <v>328</v>
      </c>
      <c r="C37" s="133" t="s">
        <v>13</v>
      </c>
      <c r="D37" s="2">
        <v>2657</v>
      </c>
      <c r="E37" s="2" t="s">
        <v>502</v>
      </c>
      <c r="F37" s="2" t="s">
        <v>521</v>
      </c>
      <c r="G37" s="2">
        <v>1</v>
      </c>
      <c r="H37" s="3">
        <v>25</v>
      </c>
      <c r="I37" s="3">
        <v>8</v>
      </c>
      <c r="J37" s="3" t="s">
        <v>36</v>
      </c>
      <c r="K37" s="4" t="s">
        <v>15</v>
      </c>
      <c r="L37" s="5" t="s">
        <v>16</v>
      </c>
      <c r="M37" s="144"/>
      <c r="N37" s="91">
        <v>20</v>
      </c>
      <c r="O37" s="7">
        <v>5</v>
      </c>
      <c r="P37" s="94">
        <f>N37*O37</f>
        <v>100</v>
      </c>
      <c r="Q37" s="28"/>
      <c r="R37" s="25"/>
      <c r="S37" s="40">
        <v>1</v>
      </c>
      <c r="T37" s="41" t="s">
        <v>703</v>
      </c>
      <c r="U37" s="42">
        <v>1</v>
      </c>
      <c r="V37" s="43" t="s">
        <v>39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>
        <v>8</v>
      </c>
      <c r="B38" s="2" t="s">
        <v>850</v>
      </c>
      <c r="C38" s="133" t="s">
        <v>13</v>
      </c>
      <c r="D38" s="2">
        <v>171227</v>
      </c>
      <c r="E38" s="16" t="s">
        <v>126</v>
      </c>
      <c r="F38" s="2" t="s">
        <v>46</v>
      </c>
      <c r="G38" s="2">
        <v>1</v>
      </c>
      <c r="H38" s="3">
        <v>25</v>
      </c>
      <c r="I38" s="8">
        <v>8</v>
      </c>
      <c r="J38" s="3" t="s">
        <v>41</v>
      </c>
      <c r="K38" s="4" t="s">
        <v>15</v>
      </c>
      <c r="L38" s="5" t="s">
        <v>16</v>
      </c>
      <c r="M38" s="144"/>
      <c r="N38" s="91">
        <v>10</v>
      </c>
      <c r="O38" s="7">
        <v>11</v>
      </c>
      <c r="P38" s="94">
        <f>N38*O38</f>
        <v>110</v>
      </c>
      <c r="Q38" s="28"/>
      <c r="R38" s="25"/>
      <c r="S38" s="40">
        <v>3</v>
      </c>
      <c r="T38" s="41" t="s">
        <v>604</v>
      </c>
      <c r="U38" s="42">
        <v>25</v>
      </c>
      <c r="V38" s="43" t="s">
        <v>830</v>
      </c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thickBot="1" x14ac:dyDescent="0.3">
      <c r="A39" s="1">
        <v>8</v>
      </c>
      <c r="B39" s="2">
        <v>110</v>
      </c>
      <c r="C39" s="133" t="s">
        <v>13</v>
      </c>
      <c r="D39" s="2">
        <v>2659</v>
      </c>
      <c r="E39" s="16" t="s">
        <v>77</v>
      </c>
      <c r="F39" s="2" t="s">
        <v>76</v>
      </c>
      <c r="G39" s="2">
        <v>2</v>
      </c>
      <c r="H39" s="3">
        <v>25</v>
      </c>
      <c r="I39" s="3">
        <v>8</v>
      </c>
      <c r="J39" s="3" t="s">
        <v>26</v>
      </c>
      <c r="K39" s="4" t="s">
        <v>15</v>
      </c>
      <c r="L39" s="5" t="s">
        <v>16</v>
      </c>
      <c r="M39" s="144"/>
      <c r="N39" s="124">
        <v>5</v>
      </c>
      <c r="O39" s="27">
        <v>9</v>
      </c>
      <c r="P39" s="97">
        <f t="shared" ref="P39" si="6">N39*O39</f>
        <v>45</v>
      </c>
      <c r="Q39" s="28"/>
      <c r="R39" s="25"/>
      <c r="S39" s="40">
        <v>5</v>
      </c>
      <c r="T39" s="41" t="s">
        <v>840</v>
      </c>
      <c r="U39" s="42">
        <v>-10</v>
      </c>
      <c r="V39" s="43" t="s">
        <v>830</v>
      </c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>
        <v>8</v>
      </c>
      <c r="B40" s="2">
        <v>216</v>
      </c>
      <c r="C40" s="133" t="s">
        <v>22</v>
      </c>
      <c r="D40" s="2">
        <v>173879</v>
      </c>
      <c r="E40" s="16" t="s">
        <v>34</v>
      </c>
      <c r="F40" s="2" t="s">
        <v>835</v>
      </c>
      <c r="G40" s="2">
        <v>2</v>
      </c>
      <c r="H40" s="3">
        <v>66</v>
      </c>
      <c r="I40" s="3">
        <v>16.5</v>
      </c>
      <c r="J40" s="3" t="s">
        <v>26</v>
      </c>
      <c r="K40" s="4" t="s">
        <v>15</v>
      </c>
      <c r="L40" s="5" t="s">
        <v>16</v>
      </c>
      <c r="M40" s="144"/>
      <c r="N40" s="279"/>
      <c r="O40" s="280"/>
      <c r="P40" s="119">
        <f>SUM(P33:P39)</f>
        <v>355</v>
      </c>
      <c r="Q40" s="28"/>
      <c r="R40" s="25"/>
      <c r="S40" s="40">
        <v>6</v>
      </c>
      <c r="T40" s="41" t="s">
        <v>852</v>
      </c>
      <c r="U40" s="42">
        <v>-21</v>
      </c>
      <c r="V40" s="43" t="s">
        <v>26</v>
      </c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>
        <v>9</v>
      </c>
      <c r="B41" s="17">
        <v>514</v>
      </c>
      <c r="C41" s="133" t="s">
        <v>23</v>
      </c>
      <c r="D41" s="2">
        <v>175812</v>
      </c>
      <c r="E41" s="16" t="s">
        <v>855</v>
      </c>
      <c r="F41" s="2" t="s">
        <v>76</v>
      </c>
      <c r="G41" s="2">
        <v>1</v>
      </c>
      <c r="H41" s="3">
        <v>22</v>
      </c>
      <c r="I41" s="8" t="s">
        <v>34</v>
      </c>
      <c r="J41" s="3" t="s">
        <v>39</v>
      </c>
      <c r="K41" s="4" t="s">
        <v>15</v>
      </c>
      <c r="L41" s="5" t="s">
        <v>16</v>
      </c>
      <c r="M41" s="144"/>
      <c r="N41" s="281" t="s">
        <v>44</v>
      </c>
      <c r="O41" s="282"/>
      <c r="P41" s="283"/>
      <c r="Q41" s="28"/>
      <c r="R41" s="25"/>
      <c r="S41" s="40">
        <v>7</v>
      </c>
      <c r="T41" s="41" t="s">
        <v>857</v>
      </c>
      <c r="U41" s="44">
        <v>-360</v>
      </c>
      <c r="V41" s="43" t="s">
        <v>39</v>
      </c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x14ac:dyDescent="0.25">
      <c r="A42" s="1">
        <v>9</v>
      </c>
      <c r="B42" s="2">
        <v>404</v>
      </c>
      <c r="C42" s="133" t="s">
        <v>13</v>
      </c>
      <c r="D42" s="2">
        <v>2658</v>
      </c>
      <c r="E42" s="16" t="s">
        <v>856</v>
      </c>
      <c r="F42" s="2" t="s">
        <v>46</v>
      </c>
      <c r="G42" s="2">
        <v>2</v>
      </c>
      <c r="H42" s="3">
        <v>25</v>
      </c>
      <c r="I42" s="8">
        <v>8</v>
      </c>
      <c r="J42" s="3" t="s">
        <v>42</v>
      </c>
      <c r="K42" s="4" t="s">
        <v>15</v>
      </c>
      <c r="L42" s="5" t="s">
        <v>16</v>
      </c>
      <c r="M42" s="144"/>
      <c r="N42" s="90">
        <v>2</v>
      </c>
      <c r="O42" s="24">
        <v>0</v>
      </c>
      <c r="P42" s="93">
        <f t="shared" ref="P42:P49" si="7">N42*O42</f>
        <v>0</v>
      </c>
      <c r="Q42" s="29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>
        <v>9</v>
      </c>
      <c r="B43" s="2">
        <v>216</v>
      </c>
      <c r="C43" s="133" t="s">
        <v>13</v>
      </c>
      <c r="D43" s="165">
        <v>2889</v>
      </c>
      <c r="E43" s="16" t="s">
        <v>860</v>
      </c>
      <c r="F43" s="2" t="s">
        <v>76</v>
      </c>
      <c r="G43" s="2">
        <v>2</v>
      </c>
      <c r="H43" s="3">
        <v>25</v>
      </c>
      <c r="I43" s="8">
        <v>8</v>
      </c>
      <c r="J43" s="3" t="s">
        <v>18</v>
      </c>
      <c r="K43" s="4" t="s">
        <v>15</v>
      </c>
      <c r="L43" s="5" t="s">
        <v>16</v>
      </c>
      <c r="M43" s="144"/>
      <c r="N43" s="91">
        <v>1</v>
      </c>
      <c r="O43" s="7">
        <v>0</v>
      </c>
      <c r="P43" s="94">
        <f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thickBot="1" x14ac:dyDescent="0.3">
      <c r="A44" s="1">
        <v>9</v>
      </c>
      <c r="B44" s="2" t="s">
        <v>744</v>
      </c>
      <c r="C44" s="133" t="s">
        <v>13</v>
      </c>
      <c r="D44" s="2">
        <v>2618</v>
      </c>
      <c r="E44" s="18" t="s">
        <v>745</v>
      </c>
      <c r="F44" s="2" t="s">
        <v>746</v>
      </c>
      <c r="G44" s="2">
        <v>2</v>
      </c>
      <c r="H44" s="3">
        <v>35</v>
      </c>
      <c r="I44" s="8">
        <v>10</v>
      </c>
      <c r="J44" s="3" t="s">
        <v>14</v>
      </c>
      <c r="K44" s="4" t="s">
        <v>16</v>
      </c>
      <c r="L44" s="5" t="s">
        <v>16</v>
      </c>
      <c r="M44" s="144"/>
      <c r="N44" s="91">
        <v>0.5</v>
      </c>
      <c r="O44" s="7">
        <v>1</v>
      </c>
      <c r="P44" s="94">
        <f>N44*O44</f>
        <v>0.5</v>
      </c>
      <c r="Q44" s="31"/>
      <c r="R44" s="32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>
        <v>9</v>
      </c>
      <c r="B45" s="2">
        <v>402</v>
      </c>
      <c r="C45" s="133" t="s">
        <v>13</v>
      </c>
      <c r="D45" s="2">
        <v>2660</v>
      </c>
      <c r="E45" s="16" t="s">
        <v>445</v>
      </c>
      <c r="F45" s="2" t="s">
        <v>76</v>
      </c>
      <c r="G45" s="2">
        <v>2</v>
      </c>
      <c r="H45" s="3">
        <v>25</v>
      </c>
      <c r="I45" s="8">
        <v>8</v>
      </c>
      <c r="J45" s="3" t="s">
        <v>26</v>
      </c>
      <c r="K45" s="4" t="s">
        <v>15</v>
      </c>
      <c r="L45" s="5" t="s">
        <v>16</v>
      </c>
      <c r="M45" s="144"/>
      <c r="N45" s="91">
        <v>0.2</v>
      </c>
      <c r="O45" s="7">
        <v>3</v>
      </c>
      <c r="P45" s="94">
        <f t="shared" si="7"/>
        <v>0.60000000000000009</v>
      </c>
      <c r="Q45" s="120" t="s">
        <v>25</v>
      </c>
      <c r="R45" s="119">
        <f>SUM(R33:R44)</f>
        <v>1.7</v>
      </c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>
        <v>9</v>
      </c>
      <c r="B46" s="2">
        <v>509</v>
      </c>
      <c r="C46" s="133" t="s">
        <v>13</v>
      </c>
      <c r="D46" s="2">
        <v>2661</v>
      </c>
      <c r="E46" s="2" t="s">
        <v>859</v>
      </c>
      <c r="F46" s="2" t="s">
        <v>76</v>
      </c>
      <c r="G46" s="2">
        <v>2</v>
      </c>
      <c r="H46" s="3">
        <v>25</v>
      </c>
      <c r="I46" s="3">
        <v>8</v>
      </c>
      <c r="J46" s="3" t="s">
        <v>26</v>
      </c>
      <c r="K46" s="2" t="s">
        <v>15</v>
      </c>
      <c r="L46" s="5" t="s">
        <v>16</v>
      </c>
      <c r="M46" s="144"/>
      <c r="N46" s="91">
        <v>0.1</v>
      </c>
      <c r="O46" s="7">
        <v>0</v>
      </c>
      <c r="P46" s="94">
        <f t="shared" si="7"/>
        <v>0</v>
      </c>
      <c r="Q46" s="318"/>
      <c r="R46" s="319"/>
      <c r="S46" s="40"/>
      <c r="T46" s="41"/>
      <c r="U46" s="44"/>
      <c r="V46" s="45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x14ac:dyDescent="0.25">
      <c r="A47" s="1">
        <v>9</v>
      </c>
      <c r="B47" s="2">
        <v>206</v>
      </c>
      <c r="C47" s="133" t="s">
        <v>17</v>
      </c>
      <c r="D47" s="2">
        <v>3272</v>
      </c>
      <c r="E47" s="9" t="s">
        <v>858</v>
      </c>
      <c r="F47" s="2" t="s">
        <v>53</v>
      </c>
      <c r="G47" s="2">
        <v>3</v>
      </c>
      <c r="H47" s="3">
        <v>207</v>
      </c>
      <c r="I47" s="3">
        <v>62.1</v>
      </c>
      <c r="J47" s="3" t="s">
        <v>26</v>
      </c>
      <c r="K47" s="2" t="s">
        <v>15</v>
      </c>
      <c r="L47" s="5" t="s">
        <v>16</v>
      </c>
      <c r="M47" s="144"/>
      <c r="N47" s="91">
        <v>0.05</v>
      </c>
      <c r="O47" s="7">
        <v>0</v>
      </c>
      <c r="P47" s="94">
        <f t="shared" si="7"/>
        <v>0</v>
      </c>
      <c r="Q47" s="115" t="s">
        <v>71</v>
      </c>
      <c r="R47" s="121">
        <f>SUM(U33:U50)</f>
        <v>357.79999999999995</v>
      </c>
      <c r="S47" s="40"/>
      <c r="T47" s="41"/>
      <c r="U47" s="44"/>
      <c r="V47" s="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3">
      <c r="A48" s="1">
        <v>10</v>
      </c>
      <c r="B48" s="267" t="s">
        <v>839</v>
      </c>
      <c r="C48" s="133" t="s">
        <v>13</v>
      </c>
      <c r="D48" s="17">
        <v>2598</v>
      </c>
      <c r="E48" s="2" t="s">
        <v>107</v>
      </c>
      <c r="F48" s="2" t="s">
        <v>76</v>
      </c>
      <c r="G48" s="2">
        <v>1</v>
      </c>
      <c r="H48" s="3">
        <v>25</v>
      </c>
      <c r="I48" s="3">
        <v>8</v>
      </c>
      <c r="J48" s="3" t="s">
        <v>841</v>
      </c>
      <c r="K48" s="2" t="s">
        <v>15</v>
      </c>
      <c r="L48" s="5" t="s">
        <v>16</v>
      </c>
      <c r="M48" s="144"/>
      <c r="N48" s="91">
        <v>0.02</v>
      </c>
      <c r="O48" s="7">
        <v>0</v>
      </c>
      <c r="P48" s="94">
        <f t="shared" si="7"/>
        <v>0</v>
      </c>
      <c r="Q48" s="116" t="s">
        <v>70</v>
      </c>
      <c r="R48" s="122">
        <f>P40+P50+R45</f>
        <v>357.8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thickBot="1" x14ac:dyDescent="0.3">
      <c r="A49" s="1">
        <v>11</v>
      </c>
      <c r="B49" s="2" t="s">
        <v>363</v>
      </c>
      <c r="C49" s="133" t="s">
        <v>23</v>
      </c>
      <c r="D49" s="2">
        <v>171758</v>
      </c>
      <c r="E49" s="2" t="s">
        <v>91</v>
      </c>
      <c r="F49" s="2" t="s">
        <v>364</v>
      </c>
      <c r="G49" s="2">
        <v>4</v>
      </c>
      <c r="H49" s="3">
        <v>50</v>
      </c>
      <c r="I49" s="3" t="s">
        <v>34</v>
      </c>
      <c r="J49" s="3" t="s">
        <v>14</v>
      </c>
      <c r="K49" s="2" t="s">
        <v>16</v>
      </c>
      <c r="L49" s="5" t="s">
        <v>16</v>
      </c>
      <c r="M49" s="144"/>
      <c r="N49" s="92">
        <v>0.01</v>
      </c>
      <c r="O49" s="26">
        <v>0</v>
      </c>
      <c r="P49" s="95">
        <f t="shared" si="7"/>
        <v>0</v>
      </c>
      <c r="Q49" s="117" t="s">
        <v>59</v>
      </c>
      <c r="R49" s="123">
        <f>R48-R47</f>
        <v>0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>
        <v>11</v>
      </c>
      <c r="B50" s="2" t="s">
        <v>837</v>
      </c>
      <c r="C50" s="133" t="s">
        <v>23</v>
      </c>
      <c r="D50" s="2">
        <v>174294</v>
      </c>
      <c r="E50" s="2" t="s">
        <v>433</v>
      </c>
      <c r="F50" s="2" t="s">
        <v>838</v>
      </c>
      <c r="G50" s="2">
        <v>4</v>
      </c>
      <c r="H50" s="3">
        <v>50</v>
      </c>
      <c r="I50" s="3" t="s">
        <v>34</v>
      </c>
      <c r="J50" s="3" t="s">
        <v>830</v>
      </c>
      <c r="K50" s="2" t="s">
        <v>16</v>
      </c>
      <c r="L50" s="5" t="s">
        <v>16</v>
      </c>
      <c r="M50" s="144"/>
      <c r="N50" s="269"/>
      <c r="O50" s="270"/>
      <c r="P50" s="118">
        <f>SUM(P42:P49)</f>
        <v>1.1000000000000001</v>
      </c>
      <c r="Q50" s="125" t="s">
        <v>60</v>
      </c>
      <c r="R50" s="126">
        <f>R48/10</f>
        <v>35.78</v>
      </c>
      <c r="S50" s="46"/>
      <c r="T50" s="47"/>
      <c r="U50" s="48"/>
      <c r="V50" s="49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x14ac:dyDescent="0.25">
      <c r="A51" s="1">
        <v>13</v>
      </c>
      <c r="B51" s="2" t="s">
        <v>454</v>
      </c>
      <c r="C51" s="133" t="s">
        <v>23</v>
      </c>
      <c r="D51" s="2">
        <v>174071</v>
      </c>
      <c r="E51" s="2" t="s">
        <v>219</v>
      </c>
      <c r="F51" s="2" t="s">
        <v>76</v>
      </c>
      <c r="G51" s="2">
        <v>2</v>
      </c>
      <c r="H51" s="3">
        <v>22</v>
      </c>
      <c r="I51" s="8" t="s">
        <v>34</v>
      </c>
      <c r="J51" s="3" t="s">
        <v>14</v>
      </c>
      <c r="K51" s="4" t="s">
        <v>16</v>
      </c>
      <c r="L51" s="5" t="s">
        <v>16</v>
      </c>
      <c r="M51" s="144"/>
      <c r="N51" s="143"/>
      <c r="O51" s="143" t="s">
        <v>45</v>
      </c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>
        <v>14</v>
      </c>
      <c r="B52" s="2" t="s">
        <v>744</v>
      </c>
      <c r="C52" s="133" t="s">
        <v>13</v>
      </c>
      <c r="D52" s="2">
        <v>2619</v>
      </c>
      <c r="E52" s="16" t="s">
        <v>219</v>
      </c>
      <c r="F52" s="2" t="s">
        <v>46</v>
      </c>
      <c r="G52" s="2">
        <v>2</v>
      </c>
      <c r="H52" s="3">
        <v>25</v>
      </c>
      <c r="I52" s="3">
        <v>8</v>
      </c>
      <c r="J52" s="3" t="s">
        <v>14</v>
      </c>
      <c r="K52" s="4" t="s">
        <v>16</v>
      </c>
      <c r="L52" s="5" t="s">
        <v>16</v>
      </c>
      <c r="M52" s="144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>
        <v>15</v>
      </c>
      <c r="B53" s="165" t="s">
        <v>848</v>
      </c>
      <c r="C53" s="133" t="s">
        <v>23</v>
      </c>
      <c r="D53" s="2">
        <v>176045</v>
      </c>
      <c r="E53" s="2" t="s">
        <v>278</v>
      </c>
      <c r="F53" s="2" t="s">
        <v>849</v>
      </c>
      <c r="G53" s="2">
        <v>2</v>
      </c>
      <c r="H53" s="3">
        <v>39</v>
      </c>
      <c r="I53" s="3" t="s">
        <v>34</v>
      </c>
      <c r="J53" s="3" t="s">
        <v>830</v>
      </c>
      <c r="K53" s="2" t="s">
        <v>16</v>
      </c>
      <c r="L53" s="5" t="s">
        <v>16</v>
      </c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>
        <v>18</v>
      </c>
      <c r="B54" s="2" t="s">
        <v>365</v>
      </c>
      <c r="C54" s="133" t="s">
        <v>23</v>
      </c>
      <c r="D54" s="2">
        <v>168820</v>
      </c>
      <c r="E54" s="2" t="s">
        <v>219</v>
      </c>
      <c r="F54" s="2" t="s">
        <v>76</v>
      </c>
      <c r="G54" s="2">
        <v>2</v>
      </c>
      <c r="H54" s="3">
        <v>22</v>
      </c>
      <c r="I54" s="3" t="s">
        <v>34</v>
      </c>
      <c r="J54" s="3" t="s">
        <v>18</v>
      </c>
      <c r="K54" s="2" t="s">
        <v>16</v>
      </c>
      <c r="L54" s="5" t="s">
        <v>16</v>
      </c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>
        <v>19</v>
      </c>
      <c r="B55" s="2" t="s">
        <v>848</v>
      </c>
      <c r="C55" s="133" t="s">
        <v>23</v>
      </c>
      <c r="D55" s="2">
        <v>176045</v>
      </c>
      <c r="E55" s="16" t="s">
        <v>219</v>
      </c>
      <c r="F55" s="2" t="s">
        <v>76</v>
      </c>
      <c r="G55" s="2">
        <v>2</v>
      </c>
      <c r="H55" s="3">
        <v>22</v>
      </c>
      <c r="I55" s="8" t="s">
        <v>34</v>
      </c>
      <c r="J55" s="3" t="s">
        <v>830</v>
      </c>
      <c r="K55" s="4" t="s">
        <v>16</v>
      </c>
      <c r="L55" s="5" t="s">
        <v>16</v>
      </c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>
        <v>20</v>
      </c>
      <c r="B56" s="2" t="s">
        <v>812</v>
      </c>
      <c r="C56" s="133" t="s">
        <v>13</v>
      </c>
      <c r="D56" s="2">
        <v>2574</v>
      </c>
      <c r="E56" s="9" t="s">
        <v>813</v>
      </c>
      <c r="F56" s="2" t="s">
        <v>814</v>
      </c>
      <c r="G56" s="2">
        <v>12</v>
      </c>
      <c r="H56" s="3">
        <v>110</v>
      </c>
      <c r="I56" s="3">
        <v>30</v>
      </c>
      <c r="J56" s="3" t="s">
        <v>26</v>
      </c>
      <c r="K56" s="2" t="s">
        <v>16</v>
      </c>
      <c r="L56" s="5" t="s">
        <v>16</v>
      </c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>
        <v>20</v>
      </c>
      <c r="B57" s="2" t="s">
        <v>809</v>
      </c>
      <c r="C57" s="133" t="s">
        <v>23</v>
      </c>
      <c r="D57" s="2">
        <v>173651</v>
      </c>
      <c r="E57" s="16" t="s">
        <v>249</v>
      </c>
      <c r="F57" s="2" t="s">
        <v>81</v>
      </c>
      <c r="G57" s="2">
        <v>2</v>
      </c>
      <c r="H57" s="3">
        <v>39</v>
      </c>
      <c r="I57" s="3" t="s">
        <v>34</v>
      </c>
      <c r="J57" s="3" t="s">
        <v>39</v>
      </c>
      <c r="K57" s="2" t="s">
        <v>16</v>
      </c>
      <c r="L57" s="5" t="s">
        <v>16</v>
      </c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>
        <v>23</v>
      </c>
      <c r="B58" s="2" t="s">
        <v>812</v>
      </c>
      <c r="C58" s="133" t="s">
        <v>13</v>
      </c>
      <c r="D58" s="2">
        <v>2575</v>
      </c>
      <c r="E58" s="20" t="s">
        <v>219</v>
      </c>
      <c r="F58" s="2" t="s">
        <v>76</v>
      </c>
      <c r="G58" s="2">
        <v>12</v>
      </c>
      <c r="H58" s="3">
        <v>110</v>
      </c>
      <c r="I58" s="8">
        <v>30</v>
      </c>
      <c r="J58" s="3" t="s">
        <v>26</v>
      </c>
      <c r="K58" s="4" t="s">
        <v>16</v>
      </c>
      <c r="L58" s="5" t="s">
        <v>16</v>
      </c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>
        <v>23</v>
      </c>
      <c r="B59" s="2" t="s">
        <v>366</v>
      </c>
      <c r="C59" s="133" t="s">
        <v>23</v>
      </c>
      <c r="D59" s="2">
        <v>172158</v>
      </c>
      <c r="E59" s="16" t="s">
        <v>219</v>
      </c>
      <c r="F59" s="2" t="s">
        <v>76</v>
      </c>
      <c r="G59" s="2">
        <v>2</v>
      </c>
      <c r="H59" s="3">
        <v>22</v>
      </c>
      <c r="I59" s="3" t="s">
        <v>34</v>
      </c>
      <c r="J59" s="3" t="s">
        <v>18</v>
      </c>
      <c r="K59" s="2" t="s">
        <v>16</v>
      </c>
      <c r="L59" s="5" t="s">
        <v>16</v>
      </c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>
        <v>23</v>
      </c>
      <c r="B60" s="2" t="s">
        <v>809</v>
      </c>
      <c r="C60" s="133" t="s">
        <v>23</v>
      </c>
      <c r="D60" s="2">
        <v>173651</v>
      </c>
      <c r="E60" s="16" t="s">
        <v>219</v>
      </c>
      <c r="F60" s="2" t="s">
        <v>76</v>
      </c>
      <c r="G60" s="2">
        <v>2</v>
      </c>
      <c r="H60" s="3">
        <v>22</v>
      </c>
      <c r="I60" s="8" t="s">
        <v>34</v>
      </c>
      <c r="J60" s="3" t="s">
        <v>39</v>
      </c>
      <c r="K60" s="4" t="s">
        <v>16</v>
      </c>
      <c r="L60" s="5" t="s">
        <v>16</v>
      </c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>
        <v>28</v>
      </c>
      <c r="B61" s="2" t="s">
        <v>845</v>
      </c>
      <c r="C61" s="133" t="s">
        <v>24</v>
      </c>
      <c r="D61" s="2">
        <v>170369</v>
      </c>
      <c r="E61" s="16" t="s">
        <v>846</v>
      </c>
      <c r="F61" s="2" t="s">
        <v>847</v>
      </c>
      <c r="G61" s="2">
        <v>1</v>
      </c>
      <c r="H61" s="3">
        <v>170</v>
      </c>
      <c r="I61" s="8">
        <v>25.5</v>
      </c>
      <c r="J61" s="3" t="s">
        <v>26</v>
      </c>
      <c r="K61" s="4" t="s">
        <v>16</v>
      </c>
      <c r="L61" s="5" t="s">
        <v>16</v>
      </c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>
        <v>29</v>
      </c>
      <c r="B62" s="2" t="s">
        <v>829</v>
      </c>
      <c r="C62" s="133" t="s">
        <v>23</v>
      </c>
      <c r="D62" s="2">
        <v>176114</v>
      </c>
      <c r="E62" s="16" t="s">
        <v>219</v>
      </c>
      <c r="F62" s="2" t="s">
        <v>240</v>
      </c>
      <c r="G62" s="2">
        <v>2</v>
      </c>
      <c r="H62" s="3">
        <v>39</v>
      </c>
      <c r="I62" s="3" t="s">
        <v>34</v>
      </c>
      <c r="J62" s="3" t="s">
        <v>830</v>
      </c>
      <c r="K62" s="4" t="s">
        <v>15</v>
      </c>
      <c r="L62" s="5" t="s">
        <v>16</v>
      </c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8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6"/>
      <c r="F65" s="2"/>
      <c r="G65" s="2"/>
      <c r="H65" s="3"/>
      <c r="I65" s="8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9"/>
      <c r="F66" s="2"/>
      <c r="G66" s="2"/>
      <c r="H66" s="3"/>
      <c r="I66" s="3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21"/>
      <c r="F67" s="2"/>
      <c r="G67" s="2"/>
      <c r="H67" s="3"/>
      <c r="I67" s="8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"/>
      <c r="F70" s="2"/>
      <c r="G70" s="2"/>
      <c r="H70" s="3"/>
      <c r="I70" s="3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2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1"/>
      <c r="F74" s="2"/>
      <c r="G74" s="2"/>
      <c r="H74" s="3"/>
      <c r="I74" s="8"/>
      <c r="J74" s="3"/>
      <c r="K74" s="4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165"/>
      <c r="E75" s="22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2"/>
      <c r="E76" s="21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"/>
      <c r="F77" s="2"/>
      <c r="G77" s="2"/>
      <c r="H77" s="3"/>
      <c r="I77" s="3"/>
      <c r="J77" s="2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1"/>
      <c r="F78" s="2"/>
      <c r="G78" s="2"/>
      <c r="H78" s="3"/>
      <c r="I78" s="8"/>
      <c r="J78" s="3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"/>
      <c r="F82" s="2"/>
      <c r="G82" s="2"/>
      <c r="H82" s="3"/>
      <c r="I82" s="3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8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9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2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9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165"/>
      <c r="C89" s="133"/>
      <c r="D89" s="2"/>
      <c r="E89" s="21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2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2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9"/>
      <c r="F99" s="2"/>
      <c r="G99" s="2"/>
      <c r="H99" s="3"/>
      <c r="I99" s="3"/>
      <c r="J99" s="3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2"/>
      <c r="F100" s="2"/>
      <c r="G100" s="2"/>
      <c r="H100" s="3"/>
      <c r="I100" s="8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3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9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2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8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3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ht="15" customHeight="1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10"/>
      <c r="C129" s="133"/>
      <c r="D129" s="10"/>
      <c r="E129" s="10"/>
      <c r="F129" s="10"/>
      <c r="G129" s="10"/>
      <c r="H129" s="8"/>
      <c r="I129" s="8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2"/>
      <c r="C130" s="133"/>
      <c r="D130" s="2"/>
      <c r="E130" s="2"/>
      <c r="F130" s="2"/>
      <c r="G130" s="2"/>
      <c r="H130" s="3"/>
      <c r="I130" s="3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ht="15.75" thickBot="1" x14ac:dyDescent="0.3">
      <c r="A199" s="11"/>
      <c r="B199" s="12"/>
      <c r="C199" s="134"/>
      <c r="D199" s="12"/>
      <c r="E199" s="12"/>
      <c r="F199" s="12"/>
      <c r="G199" s="12"/>
      <c r="H199" s="13"/>
      <c r="I199" s="13"/>
      <c r="J199" s="13"/>
      <c r="K199" s="12"/>
      <c r="L199" s="14"/>
      <c r="M199" s="152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x14ac:dyDescent="0.25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5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D371"/>
      <c r="Y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</sheetData>
  <sheetProtection formatCells="0" selectLockedCells="1" sort="0" autoFilter="0" pivotTables="0"/>
  <mergeCells count="22">
    <mergeCell ref="T27:U28"/>
    <mergeCell ref="N28:O28"/>
    <mergeCell ref="Q28:R28"/>
    <mergeCell ref="S1:V1"/>
    <mergeCell ref="S6:S7"/>
    <mergeCell ref="N9:P9"/>
    <mergeCell ref="Q9:U9"/>
    <mergeCell ref="N10:P10"/>
    <mergeCell ref="Q10:S10"/>
    <mergeCell ref="N18:O18"/>
    <mergeCell ref="Q18:R18"/>
    <mergeCell ref="N19:P19"/>
    <mergeCell ref="Q19:S19"/>
    <mergeCell ref="T26:U26"/>
    <mergeCell ref="Q46:R46"/>
    <mergeCell ref="N50:O50"/>
    <mergeCell ref="N29:O29"/>
    <mergeCell ref="N31:R31"/>
    <mergeCell ref="S31:V31"/>
    <mergeCell ref="N32:P32"/>
    <mergeCell ref="N40:O40"/>
    <mergeCell ref="N41:P41"/>
  </mergeCells>
  <phoneticPr fontId="20" type="noConversion"/>
  <conditionalFormatting sqref="A2:L40 A41:A42 C41:L42 A43:L199">
    <cfRule type="expression" dxfId="41" priority="4">
      <formula>$C2="Website"</formula>
    </cfRule>
    <cfRule type="expression" dxfId="40" priority="5">
      <formula>$C2="CitySightSeeing"</formula>
    </cfRule>
    <cfRule type="expression" dxfId="39" priority="6">
      <formula>$C2="Where To"</formula>
    </cfRule>
  </conditionalFormatting>
  <conditionalFormatting sqref="A2:L40 C41:L42 A43:L199 A41:A42">
    <cfRule type="expression" dxfId="38" priority="3">
      <formula>$C2="Outra"</formula>
    </cfRule>
  </conditionalFormatting>
  <conditionalFormatting sqref="K2:K199">
    <cfRule type="containsText" dxfId="37" priority="1" operator="containsText" text="Não">
      <formula>NOT(ISERROR(SEARCH("Não",K2)))</formula>
    </cfRule>
    <cfRule type="containsText" dxfId="36" priority="2" operator="containsText" text="Sim">
      <formula>NOT(ISERROR(SEARCH("Sim",K2)))</formula>
    </cfRule>
  </conditionalFormatting>
  <dataValidations count="5">
    <dataValidation type="list" allowBlank="1" showInputMessage="1" showErrorMessage="1" sqref="S33:S50" xr:uid="{53731AAC-DA84-4383-9808-F60476AEE918}">
      <formula1>$X$2:$X$31</formula1>
    </dataValidation>
    <dataValidation type="list" allowBlank="1" showInputMessage="1" showErrorMessage="1" sqref="K2:L199" xr:uid="{75558E18-45AA-4211-B254-9B98058AB4FA}">
      <formula1>$W$2:$W$3</formula1>
    </dataValidation>
    <dataValidation type="list" allowBlank="1" showInputMessage="1" showErrorMessage="1" sqref="C2:C199" xr:uid="{F3ECD2F0-6276-4520-8F0D-36CD4A6D1362}">
      <formula1>$N$2:$N$6</formula1>
    </dataValidation>
    <dataValidation type="list" allowBlank="1" showInputMessage="1" showErrorMessage="1" sqref="V33:V50 J2:J199" xr:uid="{FA19614D-B50A-4C3D-BB9B-2A82BBB51AB1}">
      <formula1>$Y$2:$Y$11</formula1>
    </dataValidation>
    <dataValidation type="whole" allowBlank="1" showInputMessage="1" showErrorMessage="1" sqref="A1:A1048576" xr:uid="{1808B654-6805-4089-A2C8-C05887B3E57B}">
      <formula1>1</formula1>
      <formula2>31</formula2>
    </dataValidation>
  </dataValidations>
  <pageMargins left="0.7" right="0.7" top="0.75" bottom="0.75" header="0.3" footer="0.3"/>
  <pageSetup scale="2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76D3-834E-4B54-97FC-02387C591D38}">
  <sheetPr>
    <pageSetUpPr fitToPage="1"/>
  </sheetPr>
  <dimension ref="A1:BC616"/>
  <sheetViews>
    <sheetView zoomScale="80" zoomScaleNormal="80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1</v>
      </c>
      <c r="B2" s="2" t="s">
        <v>367</v>
      </c>
      <c r="C2" s="133" t="s">
        <v>23</v>
      </c>
      <c r="D2" s="2">
        <v>172537</v>
      </c>
      <c r="E2" s="16" t="s">
        <v>99</v>
      </c>
      <c r="F2" s="2" t="s">
        <v>368</v>
      </c>
      <c r="G2" s="2">
        <v>2</v>
      </c>
      <c r="H2" s="3">
        <v>39</v>
      </c>
      <c r="I2" s="3" t="s">
        <v>34</v>
      </c>
      <c r="J2" s="3" t="s">
        <v>18</v>
      </c>
      <c r="K2" s="4" t="s">
        <v>16</v>
      </c>
      <c r="L2" s="5" t="s">
        <v>16</v>
      </c>
      <c r="M2" s="144"/>
      <c r="N2" s="61" t="s">
        <v>17</v>
      </c>
      <c r="O2" s="62">
        <f>SUMIFS(H2:H200,C2:C200,N2,L2:L200,"Sim")</f>
        <v>0</v>
      </c>
      <c r="P2" s="62">
        <f>O2*0.3</f>
        <v>0</v>
      </c>
      <c r="Q2" s="62">
        <f>SUMIFS(I2:I200,C2:C200,N2,K2:K200,"Sim")</f>
        <v>0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>
        <v>2</v>
      </c>
      <c r="B3" s="2" t="s">
        <v>369</v>
      </c>
      <c r="C3" s="133" t="s">
        <v>13</v>
      </c>
      <c r="D3" s="2">
        <v>2626</v>
      </c>
      <c r="E3" s="16" t="s">
        <v>370</v>
      </c>
      <c r="F3" s="2" t="s">
        <v>135</v>
      </c>
      <c r="G3" s="2">
        <v>1</v>
      </c>
      <c r="H3" s="3">
        <v>35</v>
      </c>
      <c r="I3" s="3">
        <v>10</v>
      </c>
      <c r="J3" s="3" t="s">
        <v>19</v>
      </c>
      <c r="K3" s="4" t="s">
        <v>16</v>
      </c>
      <c r="L3" s="5" t="s">
        <v>16</v>
      </c>
      <c r="M3" s="144"/>
      <c r="N3" s="67" t="s">
        <v>13</v>
      </c>
      <c r="O3" s="68">
        <f>SUMIFS(H2:H200,C2:C200,N3,L2:L200,"Não")</f>
        <v>95</v>
      </c>
      <c r="P3" s="68">
        <f>SUMIFS(I2:I200,C2:C200,N3,L2:L200,"Não")</f>
        <v>28</v>
      </c>
      <c r="Q3" s="68">
        <f>SUMIFS(I2:I200,C2:C200,N3,K2:K200,"Sim")</f>
        <v>0</v>
      </c>
      <c r="R3" s="69">
        <f>SUMIFS(H2:H200,C2:C200,N3,K2:K200,"Sim")-Q3-Q5</f>
        <v>0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>
        <v>5</v>
      </c>
      <c r="B4" s="2" t="s">
        <v>367</v>
      </c>
      <c r="C4" s="133" t="s">
        <v>23</v>
      </c>
      <c r="D4" s="2">
        <v>172537</v>
      </c>
      <c r="E4" s="16" t="s">
        <v>371</v>
      </c>
      <c r="F4" s="2" t="s">
        <v>76</v>
      </c>
      <c r="G4" s="2">
        <v>2</v>
      </c>
      <c r="H4" s="3">
        <v>22</v>
      </c>
      <c r="I4" s="3" t="s">
        <v>34</v>
      </c>
      <c r="J4" s="3" t="s">
        <v>18</v>
      </c>
      <c r="K4" s="4" t="s">
        <v>16</v>
      </c>
      <c r="L4" s="5" t="s">
        <v>16</v>
      </c>
      <c r="M4" s="144"/>
      <c r="N4" s="67" t="s">
        <v>22</v>
      </c>
      <c r="O4" s="68">
        <f>SUMIFS(H2:H200,C2:C200,N4,L2:L200,"Não")</f>
        <v>0</v>
      </c>
      <c r="P4" s="68">
        <f>O4*0.25</f>
        <v>0</v>
      </c>
      <c r="Q4" s="68">
        <f>SUMIFS(I2:I199,C2:C199,N4,K2:K199,"Sim")</f>
        <v>0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>
        <v>7</v>
      </c>
      <c r="B5" s="2" t="s">
        <v>369</v>
      </c>
      <c r="C5" s="133" t="s">
        <v>13</v>
      </c>
      <c r="D5" s="2">
        <v>2627</v>
      </c>
      <c r="E5" s="16" t="s">
        <v>219</v>
      </c>
      <c r="F5" s="2" t="s">
        <v>76</v>
      </c>
      <c r="G5" s="2">
        <v>1</v>
      </c>
      <c r="H5" s="3">
        <v>25</v>
      </c>
      <c r="I5" s="3">
        <v>8</v>
      </c>
      <c r="J5" s="3" t="s">
        <v>19</v>
      </c>
      <c r="K5" s="4" t="s">
        <v>16</v>
      </c>
      <c r="L5" s="5" t="s">
        <v>16</v>
      </c>
      <c r="M5" s="144"/>
      <c r="N5" s="67" t="s">
        <v>20</v>
      </c>
      <c r="O5" s="68">
        <f>SUMIFS(H2:H200,C2:C200,N5,L2:L200,"Não")</f>
        <v>0</v>
      </c>
      <c r="P5" s="68">
        <f>SUMIFS(I2:I200,C2:C200,N5,L2:L200,"Não")</f>
        <v>0</v>
      </c>
      <c r="Q5" s="68">
        <f>SUMIFS(I2:I200,C2:C200,N5,K2:K200,"Sim")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>
        <v>11</v>
      </c>
      <c r="B6" s="2" t="s">
        <v>372</v>
      </c>
      <c r="C6" s="133" t="s">
        <v>23</v>
      </c>
      <c r="D6" s="2">
        <v>170607</v>
      </c>
      <c r="E6" s="16" t="s">
        <v>373</v>
      </c>
      <c r="F6" s="2" t="s">
        <v>374</v>
      </c>
      <c r="G6" s="2">
        <v>2</v>
      </c>
      <c r="H6" s="3">
        <v>39</v>
      </c>
      <c r="I6" s="3" t="s">
        <v>34</v>
      </c>
      <c r="J6" s="3" t="s">
        <v>14</v>
      </c>
      <c r="K6" s="4" t="s">
        <v>16</v>
      </c>
      <c r="L6" s="5" t="s">
        <v>16</v>
      </c>
      <c r="M6" s="144"/>
      <c r="N6" s="67" t="s">
        <v>23</v>
      </c>
      <c r="O6" s="68">
        <f>SUMIFS(H2:H200,C2:C200,N6,L2:L200,"Não")</f>
        <v>310</v>
      </c>
      <c r="P6" s="68">
        <f>O6*0.15</f>
        <v>46.5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>
        <v>27</v>
      </c>
      <c r="B7" s="2" t="s">
        <v>439</v>
      </c>
      <c r="C7" s="133" t="s">
        <v>13</v>
      </c>
      <c r="D7" s="2">
        <v>423</v>
      </c>
      <c r="E7" s="16" t="s">
        <v>440</v>
      </c>
      <c r="F7" s="2" t="s">
        <v>298</v>
      </c>
      <c r="G7" s="2">
        <v>2</v>
      </c>
      <c r="H7" s="3">
        <v>35</v>
      </c>
      <c r="I7" s="3">
        <v>10</v>
      </c>
      <c r="J7" s="3" t="s">
        <v>26</v>
      </c>
      <c r="K7" s="4" t="s">
        <v>16</v>
      </c>
      <c r="L7" s="5" t="s">
        <v>16</v>
      </c>
      <c r="M7" s="144"/>
      <c r="N7" s="73" t="s">
        <v>24</v>
      </c>
      <c r="O7" s="74">
        <f>SUMIFS(H2:H200,C2:C200,N7,L2:L200,"Não")</f>
        <v>0</v>
      </c>
      <c r="P7" s="74">
        <f>SUMIFS(I2:I200,C2:C200,N7,L2:L200,"Não")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>
        <v>22</v>
      </c>
      <c r="B8" s="2" t="s">
        <v>524</v>
      </c>
      <c r="C8" s="133" t="s">
        <v>23</v>
      </c>
      <c r="D8" s="2">
        <v>174400</v>
      </c>
      <c r="E8" s="16" t="s">
        <v>373</v>
      </c>
      <c r="F8" s="2" t="s">
        <v>525</v>
      </c>
      <c r="G8" s="2">
        <v>2</v>
      </c>
      <c r="H8" s="3">
        <v>39</v>
      </c>
      <c r="I8" s="3" t="s">
        <v>34</v>
      </c>
      <c r="J8" s="3" t="s">
        <v>39</v>
      </c>
      <c r="K8" s="4" t="s">
        <v>16</v>
      </c>
      <c r="L8" s="5" t="s">
        <v>16</v>
      </c>
      <c r="M8" s="144"/>
      <c r="N8" s="77" t="s">
        <v>25</v>
      </c>
      <c r="O8" s="78">
        <f>SUM(O2:O3)</f>
        <v>95</v>
      </c>
      <c r="P8" s="78">
        <f>SUM(P2:P3)</f>
        <v>28</v>
      </c>
      <c r="Q8" s="79"/>
      <c r="R8" s="80">
        <f>SUM(R3+R4)+Nov.25!R7</f>
        <v>898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>
        <v>27</v>
      </c>
      <c r="B9" s="17" t="s">
        <v>524</v>
      </c>
      <c r="C9" s="133" t="s">
        <v>23</v>
      </c>
      <c r="D9" s="2">
        <v>174400</v>
      </c>
      <c r="E9" s="16" t="s">
        <v>219</v>
      </c>
      <c r="F9" s="2" t="s">
        <v>76</v>
      </c>
      <c r="G9" s="2">
        <v>2</v>
      </c>
      <c r="H9" s="3">
        <v>22</v>
      </c>
      <c r="I9" s="3" t="s">
        <v>34</v>
      </c>
      <c r="J9" s="3" t="s">
        <v>39</v>
      </c>
      <c r="K9" s="4" t="s">
        <v>16</v>
      </c>
      <c r="L9" s="5" t="s">
        <v>16</v>
      </c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>
        <v>3</v>
      </c>
      <c r="B10" s="2" t="s">
        <v>677</v>
      </c>
      <c r="C10" s="133" t="s">
        <v>23</v>
      </c>
      <c r="D10" s="2">
        <v>1573</v>
      </c>
      <c r="E10" s="16" t="s">
        <v>678</v>
      </c>
      <c r="F10" s="2" t="s">
        <v>679</v>
      </c>
      <c r="G10" s="2">
        <v>6</v>
      </c>
      <c r="H10" s="3">
        <v>55</v>
      </c>
      <c r="I10" s="3">
        <v>15</v>
      </c>
      <c r="J10" s="3" t="s">
        <v>41</v>
      </c>
      <c r="K10" s="4" t="s">
        <v>16</v>
      </c>
      <c r="L10" s="5" t="s">
        <v>16</v>
      </c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>
        <v>3</v>
      </c>
      <c r="B11" s="2" t="s">
        <v>677</v>
      </c>
      <c r="C11" s="133" t="s">
        <v>23</v>
      </c>
      <c r="D11" s="2">
        <v>1574</v>
      </c>
      <c r="E11" s="16" t="s">
        <v>678</v>
      </c>
      <c r="F11" s="2" t="s">
        <v>679</v>
      </c>
      <c r="G11" s="2">
        <v>6</v>
      </c>
      <c r="H11" s="3">
        <v>55</v>
      </c>
      <c r="I11" s="3">
        <v>15</v>
      </c>
      <c r="J11" s="3" t="s">
        <v>41</v>
      </c>
      <c r="K11" s="4" t="s">
        <v>16</v>
      </c>
      <c r="L11" s="5" t="s">
        <v>16</v>
      </c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>
        <v>28</v>
      </c>
      <c r="B12" s="2" t="s">
        <v>831</v>
      </c>
      <c r="C12" s="133" t="s">
        <v>23</v>
      </c>
      <c r="D12" s="165" t="s">
        <v>34</v>
      </c>
      <c r="E12" s="16" t="s">
        <v>219</v>
      </c>
      <c r="F12" s="2" t="s">
        <v>76</v>
      </c>
      <c r="G12" s="2">
        <v>3</v>
      </c>
      <c r="H12" s="3">
        <v>39</v>
      </c>
      <c r="I12" s="3" t="s">
        <v>34</v>
      </c>
      <c r="J12" s="3" t="s">
        <v>42</v>
      </c>
      <c r="K12" s="4" t="s">
        <v>16</v>
      </c>
      <c r="L12" s="5" t="s">
        <v>16</v>
      </c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/>
      <c r="B13" s="2"/>
      <c r="C13" s="133"/>
      <c r="D13" s="2"/>
      <c r="E13" s="16"/>
      <c r="F13" s="2"/>
      <c r="G13" s="2"/>
      <c r="H13" s="3"/>
      <c r="I13" s="3"/>
      <c r="J13" s="3"/>
      <c r="K13" s="4"/>
      <c r="L13" s="5"/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/>
      <c r="B14" s="2"/>
      <c r="C14" s="133"/>
      <c r="D14" s="2"/>
      <c r="E14" s="16"/>
      <c r="F14" s="2"/>
      <c r="G14" s="2"/>
      <c r="H14" s="3"/>
      <c r="I14" s="3"/>
      <c r="J14" s="3"/>
      <c r="K14" s="4"/>
      <c r="L14" s="5"/>
      <c r="M14" s="144"/>
      <c r="N14" s="91">
        <v>100</v>
      </c>
      <c r="O14" s="7">
        <v>8</v>
      </c>
      <c r="P14" s="94">
        <f t="shared" si="0"/>
        <v>800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/>
      <c r="B15" s="17"/>
      <c r="C15" s="133"/>
      <c r="D15" s="2"/>
      <c r="E15" s="18"/>
      <c r="F15" s="2"/>
      <c r="G15" s="2"/>
      <c r="H15" s="3"/>
      <c r="I15" s="3"/>
      <c r="J15" s="3"/>
      <c r="K15" s="4"/>
      <c r="L15" s="5"/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/>
      <c r="B16" s="2"/>
      <c r="C16" s="133"/>
      <c r="D16" s="2"/>
      <c r="E16" s="16"/>
      <c r="F16" s="2"/>
      <c r="G16" s="2"/>
      <c r="H16" s="3"/>
      <c r="I16" s="3"/>
      <c r="J16" s="3"/>
      <c r="K16" s="4"/>
      <c r="L16" s="5"/>
      <c r="M16" s="144"/>
      <c r="N16" s="91">
        <v>20</v>
      </c>
      <c r="O16" s="7">
        <v>24</v>
      </c>
      <c r="P16" s="94">
        <f>N16*O16</f>
        <v>480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/>
      <c r="B17" s="2"/>
      <c r="C17" s="133"/>
      <c r="D17" s="2"/>
      <c r="E17" s="16"/>
      <c r="F17" s="2"/>
      <c r="G17" s="2"/>
      <c r="H17" s="3"/>
      <c r="I17" s="3"/>
      <c r="J17" s="3"/>
      <c r="K17" s="4"/>
      <c r="L17" s="5"/>
      <c r="M17" s="144"/>
      <c r="N17" s="91">
        <v>10</v>
      </c>
      <c r="O17" s="7">
        <v>1</v>
      </c>
      <c r="P17" s="94">
        <f t="shared" ref="P17:P18" si="2">N17*O17</f>
        <v>10</v>
      </c>
      <c r="Q17" s="91">
        <v>10</v>
      </c>
      <c r="R17" s="7">
        <v>7</v>
      </c>
      <c r="S17" s="103">
        <f>Q17*R17</f>
        <v>70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/>
      <c r="B18" s="2"/>
      <c r="C18" s="133"/>
      <c r="D18" s="2"/>
      <c r="E18" s="2"/>
      <c r="F18" s="2"/>
      <c r="G18" s="2"/>
      <c r="H18" s="3"/>
      <c r="I18" s="3"/>
      <c r="J18" s="3"/>
      <c r="K18" s="4"/>
      <c r="L18" s="5"/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/>
      <c r="B19" s="2"/>
      <c r="C19" s="133"/>
      <c r="D19" s="2"/>
      <c r="E19" s="18"/>
      <c r="F19" s="2"/>
      <c r="G19" s="2"/>
      <c r="H19" s="3"/>
      <c r="I19" s="3"/>
      <c r="J19" s="3"/>
      <c r="K19" s="4"/>
      <c r="L19" s="5"/>
      <c r="M19" s="144"/>
      <c r="N19" s="308"/>
      <c r="O19" s="309"/>
      <c r="P19" s="99">
        <f>SUM(P12:P18)</f>
        <v>3045</v>
      </c>
      <c r="Q19" s="310"/>
      <c r="R19" s="311"/>
      <c r="S19" s="107">
        <f>SUM(S12:S18)</f>
        <v>75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/>
      <c r="B20" s="2"/>
      <c r="C20" s="133"/>
      <c r="D20" s="2"/>
      <c r="E20" s="20"/>
      <c r="F20" s="2"/>
      <c r="G20" s="2"/>
      <c r="H20" s="3"/>
      <c r="I20" s="3"/>
      <c r="J20" s="3"/>
      <c r="K20" s="4"/>
      <c r="L20" s="5"/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/>
      <c r="B21" s="2"/>
      <c r="C21" s="133"/>
      <c r="D21" s="2"/>
      <c r="E21" s="16"/>
      <c r="F21" s="2"/>
      <c r="G21" s="2"/>
      <c r="H21" s="3"/>
      <c r="I21" s="3"/>
      <c r="J21" s="3"/>
      <c r="K21" s="4"/>
      <c r="L21" s="5"/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/>
      <c r="B22" s="2"/>
      <c r="C22" s="133"/>
      <c r="D22" s="2"/>
      <c r="E22" s="2"/>
      <c r="F22" s="2"/>
      <c r="G22" s="2"/>
      <c r="H22" s="3"/>
      <c r="I22" s="3"/>
      <c r="J22" s="3"/>
      <c r="K22" s="2"/>
      <c r="L22" s="5"/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2</v>
      </c>
      <c r="S22" s="103">
        <f t="shared" ref="S22:S28" si="5">Q22*R22</f>
        <v>2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/>
      <c r="B23" s="2"/>
      <c r="C23" s="133"/>
      <c r="D23" s="2"/>
      <c r="E23" s="16"/>
      <c r="F23" s="2"/>
      <c r="G23" s="2"/>
      <c r="H23" s="3"/>
      <c r="I23" s="3"/>
      <c r="J23" s="3"/>
      <c r="K23" s="4"/>
      <c r="L23" s="5"/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3</v>
      </c>
      <c r="S23" s="103">
        <f t="shared" si="5"/>
        <v>1.5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/>
      <c r="B24" s="2"/>
      <c r="C24" s="133"/>
      <c r="D24" s="2"/>
      <c r="E24" s="18"/>
      <c r="F24" s="2"/>
      <c r="G24" s="2"/>
      <c r="H24" s="3"/>
      <c r="I24" s="3"/>
      <c r="J24" s="3"/>
      <c r="K24" s="4"/>
      <c r="L24" s="5"/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/>
      <c r="B25" s="2"/>
      <c r="C25" s="133"/>
      <c r="D25" s="2"/>
      <c r="E25" s="16"/>
      <c r="F25" s="2"/>
      <c r="G25" s="2"/>
      <c r="H25" s="3"/>
      <c r="I25" s="3"/>
      <c r="J25" s="3"/>
      <c r="K25" s="4"/>
      <c r="L25" s="5"/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/>
      <c r="B26" s="2"/>
      <c r="C26" s="133"/>
      <c r="D26" s="2"/>
      <c r="E26" s="16"/>
      <c r="F26" s="2"/>
      <c r="G26" s="2"/>
      <c r="H26" s="3"/>
      <c r="I26" s="3"/>
      <c r="J26" s="3"/>
      <c r="K26" s="4"/>
      <c r="L26" s="5"/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/>
      <c r="B27" s="2"/>
      <c r="C27" s="133"/>
      <c r="D27" s="2"/>
      <c r="E27" s="16"/>
      <c r="F27" s="2"/>
      <c r="G27" s="2"/>
      <c r="H27" s="3"/>
      <c r="I27" s="3"/>
      <c r="J27" s="3"/>
      <c r="K27" s="4"/>
      <c r="L27" s="5"/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/>
      <c r="B28" s="17"/>
      <c r="C28" s="133"/>
      <c r="D28" s="2"/>
      <c r="E28" s="16"/>
      <c r="F28" s="2"/>
      <c r="G28" s="2"/>
      <c r="H28" s="3"/>
      <c r="I28" s="3"/>
      <c r="J28" s="3"/>
      <c r="K28" s="4"/>
      <c r="L28" s="5"/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/>
      <c r="B29" s="2"/>
      <c r="C29" s="133"/>
      <c r="D29" s="2"/>
      <c r="E29" s="16"/>
      <c r="F29" s="2"/>
      <c r="G29" s="2"/>
      <c r="H29" s="3"/>
      <c r="I29" s="3"/>
      <c r="J29" s="3"/>
      <c r="K29" s="4"/>
      <c r="L29" s="5"/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9.9499999999999993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/>
      <c r="B30" s="2"/>
      <c r="C30" s="133"/>
      <c r="D30" s="2"/>
      <c r="E30" s="16"/>
      <c r="F30" s="2"/>
      <c r="G30" s="2"/>
      <c r="H30" s="3"/>
      <c r="I30" s="3"/>
      <c r="J30" s="3"/>
      <c r="K30" s="4"/>
      <c r="L30" s="5"/>
      <c r="M30" s="144"/>
      <c r="N30" s="271" t="s">
        <v>25</v>
      </c>
      <c r="O30" s="272"/>
      <c r="P30" s="112">
        <f>SUM(P19+P29-R8)</f>
        <v>2147.5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/>
      <c r="B31" s="2"/>
      <c r="C31" s="133"/>
      <c r="D31" s="2"/>
      <c r="E31" s="16"/>
      <c r="F31" s="2"/>
      <c r="G31" s="2"/>
      <c r="H31" s="3"/>
      <c r="I31" s="3"/>
      <c r="J31" s="3"/>
      <c r="K31" s="4"/>
      <c r="L31" s="5"/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/>
      <c r="B32" s="2"/>
      <c r="C32" s="133"/>
      <c r="D32" s="2"/>
      <c r="E32" s="16"/>
      <c r="F32" s="2"/>
      <c r="G32" s="2"/>
      <c r="H32" s="3"/>
      <c r="I32" s="3"/>
      <c r="J32" s="3"/>
      <c r="K32" s="4"/>
      <c r="L32" s="5"/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/>
      <c r="B33" s="2"/>
      <c r="C33" s="133"/>
      <c r="D33" s="2"/>
      <c r="E33" s="16"/>
      <c r="F33" s="2"/>
      <c r="G33" s="2"/>
      <c r="H33" s="3"/>
      <c r="I33" s="3"/>
      <c r="J33" s="3"/>
      <c r="K33" s="4"/>
      <c r="L33" s="5"/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/>
      <c r="B34" s="2"/>
      <c r="C34" s="133"/>
      <c r="D34" s="2"/>
      <c r="E34" s="16"/>
      <c r="F34" s="2"/>
      <c r="G34" s="2"/>
      <c r="H34" s="3"/>
      <c r="I34" s="3"/>
      <c r="J34" s="3"/>
      <c r="K34" s="4"/>
      <c r="L34" s="5"/>
      <c r="M34" s="144"/>
      <c r="N34" s="100">
        <v>500</v>
      </c>
      <c r="O34" s="35">
        <v>0</v>
      </c>
      <c r="P34" s="96">
        <f t="shared" ref="P34" si="6">N34*O34</f>
        <v>0</v>
      </c>
      <c r="Q34" s="38" t="s">
        <v>18</v>
      </c>
      <c r="R34" s="39">
        <v>1.7</v>
      </c>
      <c r="S34" s="84"/>
      <c r="T34" s="85" t="s">
        <v>17</v>
      </c>
      <c r="U34" s="86">
        <f>Q2</f>
        <v>0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/>
      <c r="B35" s="2"/>
      <c r="C35" s="133"/>
      <c r="D35" s="2"/>
      <c r="E35" s="16"/>
      <c r="F35" s="2"/>
      <c r="G35" s="2"/>
      <c r="H35" s="3"/>
      <c r="I35" s="3"/>
      <c r="J35" s="3"/>
      <c r="K35" s="4"/>
      <c r="L35" s="5"/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</f>
        <v>0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/>
      <c r="B36" s="2"/>
      <c r="C36" s="133"/>
      <c r="D36" s="2"/>
      <c r="E36" s="16"/>
      <c r="F36" s="2"/>
      <c r="G36" s="2"/>
      <c r="H36" s="3"/>
      <c r="I36" s="8"/>
      <c r="J36" s="3"/>
      <c r="K36" s="4"/>
      <c r="L36" s="5"/>
      <c r="M36" s="144"/>
      <c r="N36" s="91">
        <v>100</v>
      </c>
      <c r="O36" s="7">
        <v>4</v>
      </c>
      <c r="P36" s="94">
        <f>N36*O36</f>
        <v>400</v>
      </c>
      <c r="Q36" s="28"/>
      <c r="R36" s="25"/>
      <c r="S36" s="87"/>
      <c r="T36" s="88" t="s">
        <v>22</v>
      </c>
      <c r="U36" s="89">
        <f>Q4</f>
        <v>0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/>
      <c r="B37" s="2"/>
      <c r="C37" s="133"/>
      <c r="D37" s="2"/>
      <c r="E37" s="16"/>
      <c r="F37" s="2"/>
      <c r="G37" s="2"/>
      <c r="H37" s="3"/>
      <c r="I37" s="8"/>
      <c r="J37" s="3"/>
      <c r="K37" s="4"/>
      <c r="L37" s="5"/>
      <c r="M37" s="144"/>
      <c r="N37" s="91">
        <v>50</v>
      </c>
      <c r="O37" s="7">
        <v>5</v>
      </c>
      <c r="P37" s="94">
        <f>N37*O37</f>
        <v>250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/>
      <c r="B38" s="2"/>
      <c r="C38" s="133"/>
      <c r="D38" s="2"/>
      <c r="E38" s="2"/>
      <c r="F38" s="2"/>
      <c r="G38" s="2"/>
      <c r="H38" s="3"/>
      <c r="I38" s="3"/>
      <c r="J38" s="3"/>
      <c r="K38" s="4"/>
      <c r="L38" s="5"/>
      <c r="M38" s="144"/>
      <c r="N38" s="91">
        <v>20</v>
      </c>
      <c r="O38" s="7">
        <v>12</v>
      </c>
      <c r="P38" s="94">
        <f>N38*O38</f>
        <v>240</v>
      </c>
      <c r="Q38" s="28"/>
      <c r="R38" s="25"/>
      <c r="S38" s="40"/>
      <c r="T38" s="41"/>
      <c r="U38" s="42"/>
      <c r="V38" s="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/>
      <c r="B39" s="2"/>
      <c r="C39" s="133"/>
      <c r="D39" s="2"/>
      <c r="E39" s="16"/>
      <c r="F39" s="2"/>
      <c r="G39" s="2"/>
      <c r="H39" s="3"/>
      <c r="I39" s="8"/>
      <c r="J39" s="3"/>
      <c r="K39" s="4"/>
      <c r="L39" s="5"/>
      <c r="M39" s="144"/>
      <c r="N39" s="91">
        <v>10</v>
      </c>
      <c r="O39" s="7">
        <v>6</v>
      </c>
      <c r="P39" s="94">
        <f>N39*O39</f>
        <v>60</v>
      </c>
      <c r="Q39" s="28"/>
      <c r="R39" s="25"/>
      <c r="S39" s="40"/>
      <c r="T39" s="41"/>
      <c r="U39" s="42"/>
      <c r="V39" s="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/>
      <c r="B40" s="2"/>
      <c r="C40" s="133"/>
      <c r="D40" s="2"/>
      <c r="E40" s="16"/>
      <c r="F40" s="2"/>
      <c r="G40" s="2"/>
      <c r="H40" s="3"/>
      <c r="I40" s="3"/>
      <c r="J40" s="3"/>
      <c r="K40" s="4"/>
      <c r="L40" s="5"/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/>
      <c r="T40" s="41"/>
      <c r="U40" s="42"/>
      <c r="V40" s="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/>
      <c r="B41" s="2"/>
      <c r="C41" s="133"/>
      <c r="D41" s="2"/>
      <c r="E41" s="16"/>
      <c r="F41" s="2"/>
      <c r="G41" s="2"/>
      <c r="H41" s="3"/>
      <c r="I41" s="3"/>
      <c r="J41" s="3"/>
      <c r="K41" s="4"/>
      <c r="L41" s="5"/>
      <c r="M41" s="144"/>
      <c r="N41" s="279"/>
      <c r="O41" s="280"/>
      <c r="P41" s="119">
        <f>SUM(P34:P40)</f>
        <v>950</v>
      </c>
      <c r="Q41" s="28"/>
      <c r="R41" s="25"/>
      <c r="S41" s="40"/>
      <c r="T41" s="41"/>
      <c r="U41" s="42"/>
      <c r="V41" s="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/>
      <c r="B42" s="2"/>
      <c r="C42" s="133"/>
      <c r="D42" s="2"/>
      <c r="E42" s="18"/>
      <c r="F42" s="2"/>
      <c r="G42" s="2"/>
      <c r="H42" s="3"/>
      <c r="I42" s="8"/>
      <c r="J42" s="3"/>
      <c r="K42" s="4"/>
      <c r="L42" s="5"/>
      <c r="M42" s="144"/>
      <c r="N42" s="281" t="s">
        <v>44</v>
      </c>
      <c r="O42" s="282"/>
      <c r="P42" s="283"/>
      <c r="Q42" s="28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/>
      <c r="B43" s="2"/>
      <c r="C43" s="133"/>
      <c r="D43" s="2"/>
      <c r="E43" s="16"/>
      <c r="F43" s="2"/>
      <c r="G43" s="2"/>
      <c r="H43" s="3"/>
      <c r="I43" s="8"/>
      <c r="J43" s="3"/>
      <c r="K43" s="4"/>
      <c r="L43" s="5"/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/>
      <c r="B44" s="2"/>
      <c r="C44" s="133"/>
      <c r="D44" s="2"/>
      <c r="E44" s="16"/>
      <c r="F44" s="2"/>
      <c r="G44" s="2"/>
      <c r="H44" s="3"/>
      <c r="I44" s="8"/>
      <c r="J44" s="3"/>
      <c r="K44" s="4"/>
      <c r="L44" s="5"/>
      <c r="M44" s="144"/>
      <c r="N44" s="91">
        <v>1</v>
      </c>
      <c r="O44" s="7">
        <v>3</v>
      </c>
      <c r="P44" s="94">
        <f>N44*O44</f>
        <v>3</v>
      </c>
      <c r="Q44" s="29"/>
      <c r="R44" s="25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/>
      <c r="B45" s="2"/>
      <c r="C45" s="133"/>
      <c r="D45" s="2"/>
      <c r="E45" s="18"/>
      <c r="F45" s="2"/>
      <c r="G45" s="2"/>
      <c r="H45" s="3"/>
      <c r="I45" s="8"/>
      <c r="J45" s="3"/>
      <c r="K45" s="4"/>
      <c r="L45" s="5"/>
      <c r="M45" s="144"/>
      <c r="N45" s="91">
        <v>0.5</v>
      </c>
      <c r="O45" s="7">
        <v>0</v>
      </c>
      <c r="P45" s="94">
        <f>N45*O45</f>
        <v>0</v>
      </c>
      <c r="Q45" s="31"/>
      <c r="R45" s="32"/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/>
      <c r="B46" s="2"/>
      <c r="C46" s="133"/>
      <c r="D46" s="2"/>
      <c r="E46" s="16"/>
      <c r="F46" s="2"/>
      <c r="G46" s="2"/>
      <c r="H46" s="3"/>
      <c r="I46" s="8"/>
      <c r="J46" s="3"/>
      <c r="K46" s="4"/>
      <c r="L46" s="5"/>
      <c r="M46" s="144"/>
      <c r="N46" s="91">
        <v>0.2</v>
      </c>
      <c r="O46" s="7">
        <v>1</v>
      </c>
      <c r="P46" s="94">
        <f t="shared" si="8"/>
        <v>0.2</v>
      </c>
      <c r="Q46" s="120" t="s">
        <v>25</v>
      </c>
      <c r="R46" s="119">
        <f>SUM(R34:R45)</f>
        <v>1.7</v>
      </c>
      <c r="S46" s="40"/>
      <c r="T46" s="41"/>
      <c r="U46" s="44"/>
      <c r="V46" s="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/>
      <c r="B47" s="165"/>
      <c r="C47" s="133"/>
      <c r="D47" s="2"/>
      <c r="E47" s="2"/>
      <c r="F47" s="2"/>
      <c r="G47" s="2"/>
      <c r="H47" s="3"/>
      <c r="I47" s="3"/>
      <c r="J47" s="3"/>
      <c r="K47" s="2"/>
      <c r="L47" s="5"/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40"/>
      <c r="T47" s="41"/>
      <c r="U47" s="44"/>
      <c r="V47" s="45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/>
      <c r="B48" s="2"/>
      <c r="C48" s="133"/>
      <c r="D48" s="2"/>
      <c r="E48" s="2"/>
      <c r="F48" s="2"/>
      <c r="G48" s="2"/>
      <c r="H48" s="3"/>
      <c r="I48" s="3"/>
      <c r="J48" s="3"/>
      <c r="K48" s="2"/>
      <c r="L48" s="5"/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20.69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/>
      <c r="B49" s="2"/>
      <c r="C49" s="133"/>
      <c r="D49" s="17"/>
      <c r="E49" s="2"/>
      <c r="F49" s="2"/>
      <c r="G49" s="2"/>
      <c r="H49" s="3"/>
      <c r="I49" s="3"/>
      <c r="J49" s="3"/>
      <c r="K49" s="2"/>
      <c r="L49" s="5"/>
      <c r="M49" s="144"/>
      <c r="N49" s="91">
        <v>0.02</v>
      </c>
      <c r="O49" s="7">
        <v>0</v>
      </c>
      <c r="P49" s="94">
        <f t="shared" si="8"/>
        <v>0</v>
      </c>
      <c r="Q49" s="116" t="s">
        <v>70</v>
      </c>
      <c r="R49" s="122">
        <f>P41+P51+R46</f>
        <v>955.06000000000006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/>
      <c r="B50" s="2"/>
      <c r="C50" s="133"/>
      <c r="D50" s="2"/>
      <c r="E50" s="2"/>
      <c r="F50" s="2"/>
      <c r="G50" s="2"/>
      <c r="H50" s="3"/>
      <c r="I50" s="3"/>
      <c r="J50" s="3"/>
      <c r="K50" s="2"/>
      <c r="L50" s="5"/>
      <c r="M50" s="144"/>
      <c r="N50" s="92">
        <v>0.01</v>
      </c>
      <c r="O50" s="26">
        <v>1</v>
      </c>
      <c r="P50" s="95">
        <f t="shared" si="8"/>
        <v>0.01</v>
      </c>
      <c r="Q50" s="117" t="s">
        <v>59</v>
      </c>
      <c r="R50" s="123">
        <f>R49-R48</f>
        <v>934.37</v>
      </c>
      <c r="S50" s="40"/>
      <c r="T50" s="41"/>
      <c r="U50" s="44"/>
      <c r="V50" s="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/>
      <c r="B51" s="2"/>
      <c r="C51" s="133"/>
      <c r="D51" s="2"/>
      <c r="E51" s="2"/>
      <c r="F51" s="2"/>
      <c r="G51" s="2"/>
      <c r="H51" s="3"/>
      <c r="I51" s="3"/>
      <c r="J51" s="3"/>
      <c r="K51" s="2"/>
      <c r="L51" s="5"/>
      <c r="M51" s="144"/>
      <c r="N51" s="269"/>
      <c r="O51" s="270"/>
      <c r="P51" s="118">
        <f>SUM(P43:P50)</f>
        <v>3.36</v>
      </c>
      <c r="Q51" s="125" t="s">
        <v>60</v>
      </c>
      <c r="R51" s="126">
        <f>R49/9</f>
        <v>106.11777777777779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/>
      <c r="B52" s="2"/>
      <c r="C52" s="133"/>
      <c r="D52" s="2"/>
      <c r="E52" s="2"/>
      <c r="F52" s="2"/>
      <c r="G52" s="2"/>
      <c r="H52" s="3"/>
      <c r="I52" s="8"/>
      <c r="J52" s="3"/>
      <c r="K52" s="4"/>
      <c r="L52" s="5"/>
      <c r="M52" s="144"/>
      <c r="N52" s="143"/>
      <c r="O52" s="143" t="s">
        <v>45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/>
      <c r="B53" s="2"/>
      <c r="C53" s="133"/>
      <c r="D53" s="2"/>
      <c r="E53" s="18"/>
      <c r="F53" s="2"/>
      <c r="G53" s="2"/>
      <c r="H53" s="3"/>
      <c r="I53" s="3"/>
      <c r="J53" s="3"/>
      <c r="K53" s="4"/>
      <c r="L53" s="5"/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/>
      <c r="B54" s="2"/>
      <c r="C54" s="133"/>
      <c r="D54" s="2"/>
      <c r="E54" s="2"/>
      <c r="F54" s="2"/>
      <c r="G54" s="2"/>
      <c r="H54" s="3"/>
      <c r="I54" s="3"/>
      <c r="J54" s="3"/>
      <c r="K54" s="2"/>
      <c r="L54" s="5"/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/>
      <c r="B55" s="2"/>
      <c r="C55" s="133"/>
      <c r="D55" s="2"/>
      <c r="E55" s="2"/>
      <c r="F55" s="2"/>
      <c r="G55" s="2"/>
      <c r="H55" s="3"/>
      <c r="I55" s="3"/>
      <c r="J55" s="3"/>
      <c r="K55" s="2"/>
      <c r="L55" s="5"/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/>
      <c r="B56" s="2"/>
      <c r="C56" s="133"/>
      <c r="D56" s="2"/>
      <c r="E56" s="2"/>
      <c r="F56" s="2"/>
      <c r="G56" s="2"/>
      <c r="H56" s="3"/>
      <c r="I56" s="3"/>
      <c r="J56" s="3"/>
      <c r="K56" s="2"/>
      <c r="L56" s="5"/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/>
      <c r="B57" s="2"/>
      <c r="C57" s="133"/>
      <c r="D57" s="2"/>
      <c r="E57" s="2"/>
      <c r="F57" s="2"/>
      <c r="G57" s="2"/>
      <c r="H57" s="3"/>
      <c r="I57" s="3"/>
      <c r="J57" s="3"/>
      <c r="K57" s="2"/>
      <c r="L57" s="5"/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/>
      <c r="B58" s="2"/>
      <c r="C58" s="133"/>
      <c r="D58" s="2"/>
      <c r="E58" s="16"/>
      <c r="F58" s="2"/>
      <c r="G58" s="2"/>
      <c r="H58" s="3"/>
      <c r="I58" s="3"/>
      <c r="J58" s="3"/>
      <c r="K58" s="2"/>
      <c r="L58" s="5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/>
      <c r="B59" s="2"/>
      <c r="C59" s="133"/>
      <c r="D59" s="2"/>
      <c r="E59" s="16"/>
      <c r="F59" s="2"/>
      <c r="G59" s="2"/>
      <c r="H59" s="3"/>
      <c r="I59" s="8"/>
      <c r="J59" s="3"/>
      <c r="K59" s="4"/>
      <c r="L59" s="5"/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/>
      <c r="B60" s="2"/>
      <c r="C60" s="133"/>
      <c r="D60" s="2"/>
      <c r="E60" s="16"/>
      <c r="F60" s="2"/>
      <c r="G60" s="2"/>
      <c r="H60" s="3"/>
      <c r="I60" s="3"/>
      <c r="J60" s="3"/>
      <c r="K60" s="2"/>
      <c r="L60" s="5"/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/>
      <c r="B61" s="2"/>
      <c r="C61" s="133"/>
      <c r="D61" s="2"/>
      <c r="E61" s="18"/>
      <c r="F61" s="2"/>
      <c r="G61" s="2"/>
      <c r="H61" s="3"/>
      <c r="I61" s="8"/>
      <c r="J61" s="3"/>
      <c r="K61" s="4"/>
      <c r="L61" s="5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/>
      <c r="B62" s="2"/>
      <c r="C62" s="133"/>
      <c r="D62" s="2"/>
      <c r="E62" s="16"/>
      <c r="F62" s="2"/>
      <c r="G62" s="2"/>
      <c r="H62" s="3"/>
      <c r="I62" s="8"/>
      <c r="J62" s="3"/>
      <c r="K62" s="4"/>
      <c r="L62" s="5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6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8"/>
      <c r="F65" s="2"/>
      <c r="G65" s="2"/>
      <c r="H65" s="3"/>
      <c r="I65" s="3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16"/>
      <c r="F66" s="2"/>
      <c r="G66" s="2"/>
      <c r="H66" s="3"/>
      <c r="I66" s="8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9"/>
      <c r="F67" s="2"/>
      <c r="G67" s="2"/>
      <c r="H67" s="3"/>
      <c r="I67" s="3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1"/>
      <c r="F70" s="2"/>
      <c r="G70" s="2"/>
      <c r="H70" s="3"/>
      <c r="I70" s="8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4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"/>
      <c r="F74" s="2"/>
      <c r="G74" s="2"/>
      <c r="H74" s="3"/>
      <c r="I74" s="3"/>
      <c r="J74" s="3"/>
      <c r="K74" s="2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2"/>
      <c r="E75" s="21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165"/>
      <c r="E76" s="22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1"/>
      <c r="F77" s="2"/>
      <c r="G77" s="2"/>
      <c r="H77" s="3"/>
      <c r="I77" s="8"/>
      <c r="J77" s="3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"/>
      <c r="F78" s="2"/>
      <c r="G78" s="2"/>
      <c r="H78" s="3"/>
      <c r="I78" s="3"/>
      <c r="J78" s="2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1"/>
      <c r="F82" s="2"/>
      <c r="G82" s="2"/>
      <c r="H82" s="3"/>
      <c r="I82" s="8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3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2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9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2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2"/>
      <c r="C89" s="133"/>
      <c r="D89" s="2"/>
      <c r="E89" s="9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165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1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3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2"/>
      <c r="F99" s="2"/>
      <c r="G99" s="2"/>
      <c r="H99" s="3"/>
      <c r="I99" s="8"/>
      <c r="J99" s="2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9"/>
      <c r="F100" s="2"/>
      <c r="G100" s="2"/>
      <c r="H100" s="3"/>
      <c r="I100" s="3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8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2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9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3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8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2"/>
      <c r="C129" s="133"/>
      <c r="D129" s="2"/>
      <c r="E129" s="2"/>
      <c r="F129" s="2"/>
      <c r="G129" s="2"/>
      <c r="H129" s="3"/>
      <c r="I129" s="3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10"/>
      <c r="C130" s="133"/>
      <c r="D130" s="10"/>
      <c r="E130" s="10"/>
      <c r="F130" s="10"/>
      <c r="G130" s="10"/>
      <c r="H130" s="8"/>
      <c r="I130" s="8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1"/>
      <c r="B200" s="12"/>
      <c r="C200" s="134"/>
      <c r="D200" s="12"/>
      <c r="E200" s="12"/>
      <c r="F200" s="12"/>
      <c r="G200" s="12"/>
      <c r="H200" s="13"/>
      <c r="I200" s="13"/>
      <c r="J200" s="13"/>
      <c r="K200" s="12"/>
      <c r="L200" s="14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</sheetData>
  <sheetProtection algorithmName="SHA-512" hashValue="8PrfjR7+7fIei00SnghG6QCGl0VtLZTNeulmB3sfq0u7JtjBxMEAg9WNQMjipDCRC8kha7p+UxSx4jgvtZhnLQ==" saltValue="lsEyl9y+EMxte2APgBNVzg==" spinCount="100000" sheet="1" formatCells="0" selectLockedCells="1" sort="0" autoFilter="0" pivotTables="0"/>
  <autoFilter ref="A1:L2" xr:uid="{33F7B5EE-3B25-45C0-9521-5CD77B61364E}"/>
  <mergeCells count="22"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  <mergeCell ref="Q47:R47"/>
    <mergeCell ref="N51:O51"/>
    <mergeCell ref="N30:O30"/>
    <mergeCell ref="N32:R32"/>
    <mergeCell ref="S32:V32"/>
    <mergeCell ref="N33:P33"/>
    <mergeCell ref="N41:O41"/>
    <mergeCell ref="N42:P42"/>
  </mergeCells>
  <conditionalFormatting sqref="A2:L200">
    <cfRule type="expression" dxfId="35" priority="3">
      <formula>$C2="Outra"</formula>
    </cfRule>
    <cfRule type="expression" dxfId="34" priority="4">
      <formula>$C2="Website"</formula>
    </cfRule>
    <cfRule type="expression" dxfId="33" priority="5">
      <formula>$C2="CitySightSeeing"</formula>
    </cfRule>
    <cfRule type="expression" dxfId="32" priority="6">
      <formula>$C2="Where To"</formula>
    </cfRule>
  </conditionalFormatting>
  <conditionalFormatting sqref="K2:K200">
    <cfRule type="containsText" dxfId="31" priority="1" operator="containsText" text="Não">
      <formula>NOT(ISERROR(SEARCH("Não",K2)))</formula>
    </cfRule>
    <cfRule type="containsText" dxfId="30" priority="2" operator="containsText" text="Sim">
      <formula>NOT(ISERROR(SEARCH("Sim",K2)))</formula>
    </cfRule>
  </conditionalFormatting>
  <dataValidations count="4">
    <dataValidation type="list" allowBlank="1" showInputMessage="1" showErrorMessage="1" sqref="C2:C200" xr:uid="{D38CBFF4-D2BA-472D-9C55-2C5BFEA65A84}">
      <formula1>$N$2:$N$7</formula1>
    </dataValidation>
    <dataValidation type="list" allowBlank="1" showInputMessage="1" showErrorMessage="1" sqref="S34:S51 A2:A200" xr:uid="{83778EC5-2016-4C94-A77E-7BF22FE1C359}">
      <formula1>$X$2:$X$32</formula1>
    </dataValidation>
    <dataValidation type="list" allowBlank="1" showInputMessage="1" showErrorMessage="1" sqref="J2:J200 V34:V51" xr:uid="{B37D94D0-0B44-4A41-B83F-4AEAB327BB2C}">
      <formula1>$Y$2:$Y$11</formula1>
    </dataValidation>
    <dataValidation type="list" allowBlank="1" showInputMessage="1" showErrorMessage="1" sqref="K2:L200" xr:uid="{BC74B4B2-44D0-4C77-82E8-2124B73BB1C7}">
      <formula1>$W$2:$W$3</formula1>
    </dataValidation>
  </dataValidations>
  <pageMargins left="0.7" right="0.7" top="0.75" bottom="0.75" header="0.3" footer="0.3"/>
  <pageSetup scale="2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152F-3C4F-4382-B54F-59FE85318D3B}">
  <sheetPr>
    <pageSetUpPr fitToPage="1"/>
  </sheetPr>
  <dimension ref="A1:BC616"/>
  <sheetViews>
    <sheetView topLeftCell="C1" zoomScale="80" zoomScaleNormal="80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/>
      <c r="B2" s="2"/>
      <c r="C2" s="133"/>
      <c r="D2" s="2"/>
      <c r="E2" s="16"/>
      <c r="F2" s="2"/>
      <c r="G2" s="2"/>
      <c r="H2" s="3"/>
      <c r="I2" s="3"/>
      <c r="J2" s="3"/>
      <c r="K2" s="4"/>
      <c r="L2" s="5"/>
      <c r="M2" s="144"/>
      <c r="N2" s="61" t="s">
        <v>17</v>
      </c>
      <c r="O2" s="62">
        <f>SUMIFS(H2:H200,C2:C200,N2,L2:L200,"Sim")</f>
        <v>0</v>
      </c>
      <c r="P2" s="62">
        <f>O2*0.3</f>
        <v>0</v>
      </c>
      <c r="Q2" s="62">
        <f>SUMIFS(I2:I200,C2:C200,N2,K2:K200,"Sim")</f>
        <v>0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/>
      <c r="B3" s="2"/>
      <c r="C3" s="133"/>
      <c r="D3" s="2"/>
      <c r="E3" s="16"/>
      <c r="F3" s="2"/>
      <c r="G3" s="2"/>
      <c r="H3" s="3"/>
      <c r="I3" s="3"/>
      <c r="J3" s="3"/>
      <c r="K3" s="4"/>
      <c r="L3" s="5"/>
      <c r="M3" s="144"/>
      <c r="N3" s="67" t="s">
        <v>13</v>
      </c>
      <c r="O3" s="68">
        <f>SUMIFS(H2:H200,C2:C200,N3,L2:L200,"Não")</f>
        <v>0</v>
      </c>
      <c r="P3" s="68">
        <f>SUMIFS(I2:I200,C2:C200,N3,L2:L200,"Não")</f>
        <v>0</v>
      </c>
      <c r="Q3" s="68">
        <f>SUMIFS(I2:I200,C2:C200,N3,K2:K200,"Sim")</f>
        <v>0</v>
      </c>
      <c r="R3" s="69">
        <f>SUMIFS(H2:H200,C2:C200,N3,K2:K200,"Sim")-Q3-Q5</f>
        <v>0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/>
      <c r="B4" s="2"/>
      <c r="C4" s="133"/>
      <c r="D4" s="2"/>
      <c r="E4" s="16"/>
      <c r="F4" s="2"/>
      <c r="G4" s="2"/>
      <c r="H4" s="3"/>
      <c r="I4" s="3"/>
      <c r="J4" s="3"/>
      <c r="K4" s="4"/>
      <c r="L4" s="5"/>
      <c r="M4" s="144"/>
      <c r="N4" s="67" t="s">
        <v>22</v>
      </c>
      <c r="O4" s="68">
        <f>SUMIFS(H2:H200,C2:C200,N4,L2:L200,"Não")</f>
        <v>0</v>
      </c>
      <c r="P4" s="68">
        <f>O4*0.25</f>
        <v>0</v>
      </c>
      <c r="Q4" s="68">
        <f>SUMIFS(I2:I199,C2:C199,N4,K2:K199,"Sim")</f>
        <v>0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/>
      <c r="B5" s="2"/>
      <c r="C5" s="133"/>
      <c r="D5" s="2"/>
      <c r="E5" s="16"/>
      <c r="F5" s="2"/>
      <c r="G5" s="2"/>
      <c r="H5" s="3"/>
      <c r="I5" s="3"/>
      <c r="J5" s="3"/>
      <c r="K5" s="4"/>
      <c r="L5" s="5"/>
      <c r="M5" s="144"/>
      <c r="N5" s="67" t="s">
        <v>20</v>
      </c>
      <c r="O5" s="68">
        <f>SUMIFS(H2:H200,C2:C200,N5,L2:L200,"Não")</f>
        <v>0</v>
      </c>
      <c r="P5" s="68">
        <f>SUMIFS(I2:I200,C2:C200,N5,L2:L200,"Não")</f>
        <v>0</v>
      </c>
      <c r="Q5" s="68">
        <f>SUMIFS(I2:I200,C2:C200,N5,K2:K200,"Sim")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/>
      <c r="B6" s="2"/>
      <c r="C6" s="133"/>
      <c r="D6" s="2"/>
      <c r="E6" s="16"/>
      <c r="F6" s="2"/>
      <c r="G6" s="2"/>
      <c r="H6" s="3"/>
      <c r="I6" s="3"/>
      <c r="J6" s="3"/>
      <c r="K6" s="4"/>
      <c r="L6" s="5"/>
      <c r="M6" s="144"/>
      <c r="N6" s="67" t="s">
        <v>23</v>
      </c>
      <c r="O6" s="68">
        <f>SUMIFS(H2:H200,C2:C200,N6,L2:L200,"Não")</f>
        <v>0</v>
      </c>
      <c r="P6" s="68">
        <f>O6*0.15</f>
        <v>0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/>
      <c r="B7" s="2"/>
      <c r="C7" s="133"/>
      <c r="D7" s="2"/>
      <c r="E7" s="16"/>
      <c r="F7" s="2"/>
      <c r="G7" s="2"/>
      <c r="H7" s="3"/>
      <c r="I7" s="3"/>
      <c r="J7" s="3"/>
      <c r="K7" s="4"/>
      <c r="L7" s="5"/>
      <c r="M7" s="144"/>
      <c r="N7" s="73" t="s">
        <v>24</v>
      </c>
      <c r="O7" s="74">
        <f>SUMIFS(H2:H200,C2:C200,N7,L2:L200,"Não")</f>
        <v>0</v>
      </c>
      <c r="P7" s="74">
        <f>SUMIFS(I2:I200,C2:C200,N7,L2:L200,"Não")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/>
      <c r="B8" s="2"/>
      <c r="C8" s="133"/>
      <c r="D8" s="2"/>
      <c r="E8" s="16"/>
      <c r="F8" s="2"/>
      <c r="G8" s="2"/>
      <c r="H8" s="3"/>
      <c r="I8" s="3"/>
      <c r="J8" s="3"/>
      <c r="K8" s="4"/>
      <c r="L8" s="5"/>
      <c r="M8" s="144"/>
      <c r="N8" s="77" t="s">
        <v>25</v>
      </c>
      <c r="O8" s="78">
        <f>SUM(O2:O3)</f>
        <v>0</v>
      </c>
      <c r="P8" s="78">
        <f>SUM(P2:P3)</f>
        <v>0</v>
      </c>
      <c r="Q8" s="79"/>
      <c r="R8" s="80">
        <f>SUM(R3+R4)+Nov.25!R7</f>
        <v>898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/>
      <c r="B9" s="17"/>
      <c r="C9" s="133"/>
      <c r="D9" s="2"/>
      <c r="E9" s="16"/>
      <c r="F9" s="2"/>
      <c r="G9" s="2"/>
      <c r="H9" s="3"/>
      <c r="I9" s="3"/>
      <c r="J9" s="3"/>
      <c r="K9" s="4"/>
      <c r="L9" s="5"/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/>
      <c r="B10" s="2"/>
      <c r="C10" s="133"/>
      <c r="D10" s="2"/>
      <c r="E10" s="16"/>
      <c r="F10" s="2"/>
      <c r="G10" s="2"/>
      <c r="H10" s="3"/>
      <c r="I10" s="3"/>
      <c r="J10" s="3"/>
      <c r="K10" s="4"/>
      <c r="L10" s="5"/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/>
      <c r="B11" s="2"/>
      <c r="C11" s="133"/>
      <c r="D11" s="2"/>
      <c r="E11" s="16"/>
      <c r="F11" s="2"/>
      <c r="G11" s="2"/>
      <c r="H11" s="3"/>
      <c r="I11" s="3"/>
      <c r="J11" s="3"/>
      <c r="K11" s="4"/>
      <c r="L11" s="5"/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/>
      <c r="B12" s="2"/>
      <c r="C12" s="133"/>
      <c r="D12" s="165"/>
      <c r="E12" s="16"/>
      <c r="F12" s="2"/>
      <c r="G12" s="2"/>
      <c r="H12" s="3"/>
      <c r="I12" s="3"/>
      <c r="J12" s="3"/>
      <c r="K12" s="4"/>
      <c r="L12" s="5"/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/>
      <c r="B13" s="2"/>
      <c r="C13" s="133"/>
      <c r="D13" s="2"/>
      <c r="E13" s="16"/>
      <c r="F13" s="2"/>
      <c r="G13" s="2"/>
      <c r="H13" s="3"/>
      <c r="I13" s="3"/>
      <c r="J13" s="3"/>
      <c r="K13" s="4"/>
      <c r="L13" s="5"/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/>
      <c r="B14" s="2"/>
      <c r="C14" s="133"/>
      <c r="D14" s="2"/>
      <c r="E14" s="16"/>
      <c r="F14" s="2"/>
      <c r="G14" s="2"/>
      <c r="H14" s="3"/>
      <c r="I14" s="3"/>
      <c r="J14" s="3"/>
      <c r="K14" s="4"/>
      <c r="L14" s="5"/>
      <c r="M14" s="144"/>
      <c r="N14" s="91">
        <v>100</v>
      </c>
      <c r="O14" s="7">
        <v>8</v>
      </c>
      <c r="P14" s="94">
        <f t="shared" si="0"/>
        <v>800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/>
      <c r="B15" s="17"/>
      <c r="C15" s="133"/>
      <c r="D15" s="2"/>
      <c r="E15" s="18"/>
      <c r="F15" s="2"/>
      <c r="G15" s="2"/>
      <c r="H15" s="3"/>
      <c r="I15" s="3"/>
      <c r="J15" s="3"/>
      <c r="K15" s="4"/>
      <c r="L15" s="5"/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/>
      <c r="B16" s="2"/>
      <c r="C16" s="133"/>
      <c r="D16" s="2"/>
      <c r="E16" s="16"/>
      <c r="F16" s="2"/>
      <c r="G16" s="2"/>
      <c r="H16" s="3"/>
      <c r="I16" s="3"/>
      <c r="J16" s="3"/>
      <c r="K16" s="4"/>
      <c r="L16" s="5"/>
      <c r="M16" s="144"/>
      <c r="N16" s="91">
        <v>20</v>
      </c>
      <c r="O16" s="7">
        <v>24</v>
      </c>
      <c r="P16" s="94">
        <f>N16*O16</f>
        <v>480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/>
      <c r="B17" s="2"/>
      <c r="C17" s="133"/>
      <c r="D17" s="2"/>
      <c r="E17" s="16"/>
      <c r="F17" s="2"/>
      <c r="G17" s="2"/>
      <c r="H17" s="3"/>
      <c r="I17" s="3"/>
      <c r="J17" s="3"/>
      <c r="K17" s="4"/>
      <c r="L17" s="5"/>
      <c r="M17" s="144"/>
      <c r="N17" s="91">
        <v>10</v>
      </c>
      <c r="O17" s="7">
        <v>1</v>
      </c>
      <c r="P17" s="94">
        <f t="shared" ref="P17:P18" si="2">N17*O17</f>
        <v>10</v>
      </c>
      <c r="Q17" s="91">
        <v>10</v>
      </c>
      <c r="R17" s="7">
        <v>7</v>
      </c>
      <c r="S17" s="103">
        <f>Q17*R17</f>
        <v>70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/>
      <c r="B18" s="2"/>
      <c r="C18" s="133"/>
      <c r="D18" s="2"/>
      <c r="E18" s="2"/>
      <c r="F18" s="2"/>
      <c r="G18" s="2"/>
      <c r="H18" s="3"/>
      <c r="I18" s="3"/>
      <c r="J18" s="3"/>
      <c r="K18" s="4"/>
      <c r="L18" s="5"/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/>
      <c r="B19" s="2"/>
      <c r="C19" s="133"/>
      <c r="D19" s="2"/>
      <c r="E19" s="18"/>
      <c r="F19" s="2"/>
      <c r="G19" s="2"/>
      <c r="H19" s="3"/>
      <c r="I19" s="3"/>
      <c r="J19" s="3"/>
      <c r="K19" s="4"/>
      <c r="L19" s="5"/>
      <c r="M19" s="144"/>
      <c r="N19" s="308"/>
      <c r="O19" s="309"/>
      <c r="P19" s="99">
        <f>SUM(P12:P18)</f>
        <v>3045</v>
      </c>
      <c r="Q19" s="310"/>
      <c r="R19" s="311"/>
      <c r="S19" s="107">
        <f>SUM(S12:S18)</f>
        <v>75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/>
      <c r="B20" s="2"/>
      <c r="C20" s="133"/>
      <c r="D20" s="2"/>
      <c r="E20" s="20"/>
      <c r="F20" s="2"/>
      <c r="G20" s="2"/>
      <c r="H20" s="3"/>
      <c r="I20" s="3"/>
      <c r="J20" s="3"/>
      <c r="K20" s="4"/>
      <c r="L20" s="5"/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/>
      <c r="B21" s="2"/>
      <c r="C21" s="133"/>
      <c r="D21" s="2"/>
      <c r="E21" s="16"/>
      <c r="F21" s="2"/>
      <c r="G21" s="2"/>
      <c r="H21" s="3"/>
      <c r="I21" s="3"/>
      <c r="J21" s="3"/>
      <c r="K21" s="4"/>
      <c r="L21" s="5"/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/>
      <c r="B22" s="2"/>
      <c r="C22" s="133"/>
      <c r="D22" s="2"/>
      <c r="E22" s="2"/>
      <c r="F22" s="2"/>
      <c r="G22" s="2"/>
      <c r="H22" s="3"/>
      <c r="I22" s="3"/>
      <c r="J22" s="3"/>
      <c r="K22" s="2"/>
      <c r="L22" s="5"/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2</v>
      </c>
      <c r="S22" s="103">
        <f t="shared" ref="S22:S28" si="5">Q22*R22</f>
        <v>2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/>
      <c r="B23" s="2"/>
      <c r="C23" s="133"/>
      <c r="D23" s="2"/>
      <c r="E23" s="16"/>
      <c r="F23" s="2"/>
      <c r="G23" s="2"/>
      <c r="H23" s="3"/>
      <c r="I23" s="3"/>
      <c r="J23" s="3"/>
      <c r="K23" s="4"/>
      <c r="L23" s="5"/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3</v>
      </c>
      <c r="S23" s="103">
        <f t="shared" si="5"/>
        <v>1.5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/>
      <c r="B24" s="2"/>
      <c r="C24" s="133"/>
      <c r="D24" s="2"/>
      <c r="E24" s="18"/>
      <c r="F24" s="2"/>
      <c r="G24" s="2"/>
      <c r="H24" s="3"/>
      <c r="I24" s="3"/>
      <c r="J24" s="3"/>
      <c r="K24" s="4"/>
      <c r="L24" s="5"/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/>
      <c r="B25" s="2"/>
      <c r="C25" s="133"/>
      <c r="D25" s="2"/>
      <c r="E25" s="16"/>
      <c r="F25" s="2"/>
      <c r="G25" s="2"/>
      <c r="H25" s="3"/>
      <c r="I25" s="3"/>
      <c r="J25" s="3"/>
      <c r="K25" s="4"/>
      <c r="L25" s="5"/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/>
      <c r="B26" s="2"/>
      <c r="C26" s="133"/>
      <c r="D26" s="2"/>
      <c r="E26" s="16"/>
      <c r="F26" s="2"/>
      <c r="G26" s="2"/>
      <c r="H26" s="3"/>
      <c r="I26" s="3"/>
      <c r="J26" s="3"/>
      <c r="K26" s="4"/>
      <c r="L26" s="5"/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/>
      <c r="B27" s="2"/>
      <c r="C27" s="133"/>
      <c r="D27" s="2"/>
      <c r="E27" s="16"/>
      <c r="F27" s="2"/>
      <c r="G27" s="2"/>
      <c r="H27" s="3"/>
      <c r="I27" s="3"/>
      <c r="J27" s="3"/>
      <c r="K27" s="4"/>
      <c r="L27" s="5"/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/>
      <c r="B28" s="17"/>
      <c r="C28" s="133"/>
      <c r="D28" s="2"/>
      <c r="E28" s="16"/>
      <c r="F28" s="2"/>
      <c r="G28" s="2"/>
      <c r="H28" s="3"/>
      <c r="I28" s="3"/>
      <c r="J28" s="3"/>
      <c r="K28" s="4"/>
      <c r="L28" s="5"/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/>
      <c r="B29" s="2"/>
      <c r="C29" s="133"/>
      <c r="D29" s="2"/>
      <c r="E29" s="16"/>
      <c r="F29" s="2"/>
      <c r="G29" s="2"/>
      <c r="H29" s="3"/>
      <c r="I29" s="3"/>
      <c r="J29" s="3"/>
      <c r="K29" s="4"/>
      <c r="L29" s="5"/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9.9499999999999993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/>
      <c r="B30" s="2"/>
      <c r="C30" s="133"/>
      <c r="D30" s="2"/>
      <c r="E30" s="16"/>
      <c r="F30" s="2"/>
      <c r="G30" s="2"/>
      <c r="H30" s="3"/>
      <c r="I30" s="3"/>
      <c r="J30" s="3"/>
      <c r="K30" s="4"/>
      <c r="L30" s="5"/>
      <c r="M30" s="144"/>
      <c r="N30" s="271" t="s">
        <v>25</v>
      </c>
      <c r="O30" s="272"/>
      <c r="P30" s="112">
        <f>SUM(P19+P29-R8)</f>
        <v>2147.5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/>
      <c r="B31" s="2"/>
      <c r="C31" s="133"/>
      <c r="D31" s="2"/>
      <c r="E31" s="16"/>
      <c r="F31" s="2"/>
      <c r="G31" s="2"/>
      <c r="H31" s="3"/>
      <c r="I31" s="3"/>
      <c r="J31" s="3"/>
      <c r="K31" s="4"/>
      <c r="L31" s="5"/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/>
      <c r="B32" s="2"/>
      <c r="C32" s="133"/>
      <c r="D32" s="2"/>
      <c r="E32" s="16"/>
      <c r="F32" s="2"/>
      <c r="G32" s="2"/>
      <c r="H32" s="3"/>
      <c r="I32" s="3"/>
      <c r="J32" s="3"/>
      <c r="K32" s="4"/>
      <c r="L32" s="5"/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/>
      <c r="B33" s="2"/>
      <c r="C33" s="133"/>
      <c r="D33" s="2"/>
      <c r="E33" s="16"/>
      <c r="F33" s="2"/>
      <c r="G33" s="2"/>
      <c r="H33" s="3"/>
      <c r="I33" s="3"/>
      <c r="J33" s="3"/>
      <c r="K33" s="4"/>
      <c r="L33" s="5"/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/>
      <c r="B34" s="2"/>
      <c r="C34" s="133"/>
      <c r="D34" s="2"/>
      <c r="E34" s="16"/>
      <c r="F34" s="2"/>
      <c r="G34" s="2"/>
      <c r="H34" s="3"/>
      <c r="I34" s="3"/>
      <c r="J34" s="3"/>
      <c r="K34" s="4"/>
      <c r="L34" s="5"/>
      <c r="M34" s="144"/>
      <c r="N34" s="100">
        <v>500</v>
      </c>
      <c r="O34" s="35">
        <v>0</v>
      </c>
      <c r="P34" s="96">
        <f t="shared" ref="P34" si="6">N34*O34</f>
        <v>0</v>
      </c>
      <c r="Q34" s="38" t="s">
        <v>18</v>
      </c>
      <c r="R34" s="39">
        <v>1.7</v>
      </c>
      <c r="S34" s="84"/>
      <c r="T34" s="85" t="s">
        <v>17</v>
      </c>
      <c r="U34" s="86">
        <f>Q2</f>
        <v>0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/>
      <c r="B35" s="2"/>
      <c r="C35" s="133"/>
      <c r="D35" s="2"/>
      <c r="E35" s="16"/>
      <c r="F35" s="2"/>
      <c r="G35" s="2"/>
      <c r="H35" s="3"/>
      <c r="I35" s="3"/>
      <c r="J35" s="3"/>
      <c r="K35" s="4"/>
      <c r="L35" s="5"/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</f>
        <v>0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/>
      <c r="B36" s="2"/>
      <c r="C36" s="133"/>
      <c r="D36" s="2"/>
      <c r="E36" s="16"/>
      <c r="F36" s="2"/>
      <c r="G36" s="2"/>
      <c r="H36" s="3"/>
      <c r="I36" s="8"/>
      <c r="J36" s="3"/>
      <c r="K36" s="4"/>
      <c r="L36" s="5"/>
      <c r="M36" s="144"/>
      <c r="N36" s="91">
        <v>100</v>
      </c>
      <c r="O36" s="7">
        <v>4</v>
      </c>
      <c r="P36" s="94">
        <f>N36*O36</f>
        <v>400</v>
      </c>
      <c r="Q36" s="28"/>
      <c r="R36" s="25"/>
      <c r="S36" s="87"/>
      <c r="T36" s="88" t="s">
        <v>22</v>
      </c>
      <c r="U36" s="89">
        <f>Q4</f>
        <v>0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/>
      <c r="B37" s="2"/>
      <c r="C37" s="133"/>
      <c r="D37" s="2"/>
      <c r="E37" s="16"/>
      <c r="F37" s="2"/>
      <c r="G37" s="2"/>
      <c r="H37" s="3"/>
      <c r="I37" s="8"/>
      <c r="J37" s="3"/>
      <c r="K37" s="4"/>
      <c r="L37" s="5"/>
      <c r="M37" s="144"/>
      <c r="N37" s="91">
        <v>50</v>
      </c>
      <c r="O37" s="7">
        <v>5</v>
      </c>
      <c r="P37" s="94">
        <f>N37*O37</f>
        <v>250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/>
      <c r="B38" s="2"/>
      <c r="C38" s="133"/>
      <c r="D38" s="2"/>
      <c r="E38" s="2"/>
      <c r="F38" s="2"/>
      <c r="G38" s="2"/>
      <c r="H38" s="3"/>
      <c r="I38" s="3"/>
      <c r="J38" s="3"/>
      <c r="K38" s="4"/>
      <c r="L38" s="5"/>
      <c r="M38" s="144"/>
      <c r="N38" s="91">
        <v>20</v>
      </c>
      <c r="O38" s="7">
        <v>12</v>
      </c>
      <c r="P38" s="94">
        <f>N38*O38</f>
        <v>240</v>
      </c>
      <c r="Q38" s="28"/>
      <c r="R38" s="25"/>
      <c r="S38" s="40"/>
      <c r="T38" s="41"/>
      <c r="U38" s="42"/>
      <c r="V38" s="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/>
      <c r="B39" s="2"/>
      <c r="C39" s="133"/>
      <c r="D39" s="2"/>
      <c r="E39" s="16"/>
      <c r="F39" s="2"/>
      <c r="G39" s="2"/>
      <c r="H39" s="3"/>
      <c r="I39" s="8"/>
      <c r="J39" s="3"/>
      <c r="K39" s="4"/>
      <c r="L39" s="5"/>
      <c r="M39" s="144"/>
      <c r="N39" s="91">
        <v>10</v>
      </c>
      <c r="O39" s="7">
        <v>6</v>
      </c>
      <c r="P39" s="94">
        <f>N39*O39</f>
        <v>60</v>
      </c>
      <c r="Q39" s="28"/>
      <c r="R39" s="25"/>
      <c r="S39" s="40"/>
      <c r="T39" s="41"/>
      <c r="U39" s="42"/>
      <c r="V39" s="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/>
      <c r="B40" s="2"/>
      <c r="C40" s="133"/>
      <c r="D40" s="2"/>
      <c r="E40" s="16"/>
      <c r="F40" s="2"/>
      <c r="G40" s="2"/>
      <c r="H40" s="3"/>
      <c r="I40" s="3"/>
      <c r="J40" s="3"/>
      <c r="K40" s="4"/>
      <c r="L40" s="5"/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/>
      <c r="T40" s="41"/>
      <c r="U40" s="42"/>
      <c r="V40" s="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/>
      <c r="B41" s="2"/>
      <c r="C41" s="133"/>
      <c r="D41" s="2"/>
      <c r="E41" s="16"/>
      <c r="F41" s="2"/>
      <c r="G41" s="2"/>
      <c r="H41" s="3"/>
      <c r="I41" s="3"/>
      <c r="J41" s="3"/>
      <c r="K41" s="4"/>
      <c r="L41" s="5"/>
      <c r="M41" s="144"/>
      <c r="N41" s="279"/>
      <c r="O41" s="280"/>
      <c r="P41" s="119">
        <f>SUM(P34:P40)</f>
        <v>950</v>
      </c>
      <c r="Q41" s="28"/>
      <c r="R41" s="25"/>
      <c r="S41" s="40"/>
      <c r="T41" s="41"/>
      <c r="U41" s="42"/>
      <c r="V41" s="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/>
      <c r="B42" s="2"/>
      <c r="C42" s="133"/>
      <c r="D42" s="2"/>
      <c r="E42" s="18"/>
      <c r="F42" s="2"/>
      <c r="G42" s="2"/>
      <c r="H42" s="3"/>
      <c r="I42" s="8"/>
      <c r="J42" s="3"/>
      <c r="K42" s="4"/>
      <c r="L42" s="5"/>
      <c r="M42" s="144"/>
      <c r="N42" s="281" t="s">
        <v>44</v>
      </c>
      <c r="O42" s="282"/>
      <c r="P42" s="283"/>
      <c r="Q42" s="28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/>
      <c r="B43" s="2"/>
      <c r="C43" s="133"/>
      <c r="D43" s="2"/>
      <c r="E43" s="16"/>
      <c r="F43" s="2"/>
      <c r="G43" s="2"/>
      <c r="H43" s="3"/>
      <c r="I43" s="8"/>
      <c r="J43" s="3"/>
      <c r="K43" s="4"/>
      <c r="L43" s="5"/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/>
      <c r="B44" s="2"/>
      <c r="C44" s="133"/>
      <c r="D44" s="2"/>
      <c r="E44" s="16"/>
      <c r="F44" s="2"/>
      <c r="G44" s="2"/>
      <c r="H44" s="3"/>
      <c r="I44" s="8"/>
      <c r="J44" s="3"/>
      <c r="K44" s="4"/>
      <c r="L44" s="5"/>
      <c r="M44" s="144"/>
      <c r="N44" s="91">
        <v>1</v>
      </c>
      <c r="O44" s="7">
        <v>3</v>
      </c>
      <c r="P44" s="94">
        <f>N44*O44</f>
        <v>3</v>
      </c>
      <c r="Q44" s="29"/>
      <c r="R44" s="25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/>
      <c r="B45" s="2"/>
      <c r="C45" s="133"/>
      <c r="D45" s="2"/>
      <c r="E45" s="18"/>
      <c r="F45" s="2"/>
      <c r="G45" s="2"/>
      <c r="H45" s="3"/>
      <c r="I45" s="8"/>
      <c r="J45" s="3"/>
      <c r="K45" s="4"/>
      <c r="L45" s="5"/>
      <c r="M45" s="144"/>
      <c r="N45" s="91">
        <v>0.5</v>
      </c>
      <c r="O45" s="7">
        <v>0</v>
      </c>
      <c r="P45" s="94">
        <f>N45*O45</f>
        <v>0</v>
      </c>
      <c r="Q45" s="31"/>
      <c r="R45" s="32"/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/>
      <c r="B46" s="2"/>
      <c r="C46" s="133"/>
      <c r="D46" s="2"/>
      <c r="E46" s="16"/>
      <c r="F46" s="2"/>
      <c r="G46" s="2"/>
      <c r="H46" s="3"/>
      <c r="I46" s="8"/>
      <c r="J46" s="3"/>
      <c r="K46" s="4"/>
      <c r="L46" s="5"/>
      <c r="M46" s="144"/>
      <c r="N46" s="91">
        <v>0.2</v>
      </c>
      <c r="O46" s="7">
        <v>1</v>
      </c>
      <c r="P46" s="94">
        <f t="shared" si="8"/>
        <v>0.2</v>
      </c>
      <c r="Q46" s="120" t="s">
        <v>25</v>
      </c>
      <c r="R46" s="119">
        <f>SUM(R34:R45)</f>
        <v>1.7</v>
      </c>
      <c r="S46" s="40"/>
      <c r="T46" s="41"/>
      <c r="U46" s="44"/>
      <c r="V46" s="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/>
      <c r="B47" s="165"/>
      <c r="C47" s="133"/>
      <c r="D47" s="2"/>
      <c r="E47" s="2"/>
      <c r="F47" s="2"/>
      <c r="G47" s="2"/>
      <c r="H47" s="3"/>
      <c r="I47" s="3"/>
      <c r="J47" s="3"/>
      <c r="K47" s="2"/>
      <c r="L47" s="5"/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40"/>
      <c r="T47" s="41"/>
      <c r="U47" s="44"/>
      <c r="V47" s="45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/>
      <c r="B48" s="2"/>
      <c r="C48" s="133"/>
      <c r="D48" s="2"/>
      <c r="E48" s="2"/>
      <c r="F48" s="2"/>
      <c r="G48" s="2"/>
      <c r="H48" s="3"/>
      <c r="I48" s="3"/>
      <c r="J48" s="3"/>
      <c r="K48" s="2"/>
      <c r="L48" s="5"/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20.69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/>
      <c r="B49" s="2"/>
      <c r="C49" s="133"/>
      <c r="D49" s="17"/>
      <c r="E49" s="2"/>
      <c r="F49" s="2"/>
      <c r="G49" s="2"/>
      <c r="H49" s="3"/>
      <c r="I49" s="3"/>
      <c r="J49" s="3"/>
      <c r="K49" s="2"/>
      <c r="L49" s="5"/>
      <c r="M49" s="144"/>
      <c r="N49" s="91">
        <v>0.02</v>
      </c>
      <c r="O49" s="7">
        <v>0</v>
      </c>
      <c r="P49" s="94">
        <f t="shared" si="8"/>
        <v>0</v>
      </c>
      <c r="Q49" s="116" t="s">
        <v>70</v>
      </c>
      <c r="R49" s="122">
        <f>P41+P51+R46</f>
        <v>955.06000000000006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/>
      <c r="B50" s="2"/>
      <c r="C50" s="133"/>
      <c r="D50" s="2"/>
      <c r="E50" s="2"/>
      <c r="F50" s="2"/>
      <c r="G50" s="2"/>
      <c r="H50" s="3"/>
      <c r="I50" s="3"/>
      <c r="J50" s="3"/>
      <c r="K50" s="2"/>
      <c r="L50" s="5"/>
      <c r="M50" s="144"/>
      <c r="N50" s="92">
        <v>0.01</v>
      </c>
      <c r="O50" s="26">
        <v>1</v>
      </c>
      <c r="P50" s="95">
        <f t="shared" si="8"/>
        <v>0.01</v>
      </c>
      <c r="Q50" s="117" t="s">
        <v>59</v>
      </c>
      <c r="R50" s="123">
        <f>R49-R48</f>
        <v>934.37</v>
      </c>
      <c r="S50" s="40"/>
      <c r="T50" s="41"/>
      <c r="U50" s="44"/>
      <c r="V50" s="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/>
      <c r="B51" s="2"/>
      <c r="C51" s="133"/>
      <c r="D51" s="2"/>
      <c r="E51" s="2"/>
      <c r="F51" s="2"/>
      <c r="G51" s="2"/>
      <c r="H51" s="3"/>
      <c r="I51" s="3"/>
      <c r="J51" s="3"/>
      <c r="K51" s="2"/>
      <c r="L51" s="5"/>
      <c r="M51" s="144"/>
      <c r="N51" s="269"/>
      <c r="O51" s="270"/>
      <c r="P51" s="118">
        <f>SUM(P43:P50)</f>
        <v>3.36</v>
      </c>
      <c r="Q51" s="125" t="s">
        <v>60</v>
      </c>
      <c r="R51" s="126">
        <f>R49/9</f>
        <v>106.11777777777779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/>
      <c r="B52" s="2"/>
      <c r="C52" s="133"/>
      <c r="D52" s="2"/>
      <c r="E52" s="2"/>
      <c r="F52" s="2"/>
      <c r="G52" s="2"/>
      <c r="H52" s="3"/>
      <c r="I52" s="8"/>
      <c r="J52" s="3"/>
      <c r="K52" s="4"/>
      <c r="L52" s="5"/>
      <c r="M52" s="144"/>
      <c r="N52" s="143"/>
      <c r="O52" s="143" t="s">
        <v>45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/>
      <c r="B53" s="2"/>
      <c r="C53" s="133"/>
      <c r="D53" s="2"/>
      <c r="E53" s="18"/>
      <c r="F53" s="2"/>
      <c r="G53" s="2"/>
      <c r="H53" s="3"/>
      <c r="I53" s="3"/>
      <c r="J53" s="3"/>
      <c r="K53" s="4"/>
      <c r="L53" s="5"/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/>
      <c r="B54" s="2"/>
      <c r="C54" s="133"/>
      <c r="D54" s="2"/>
      <c r="E54" s="2"/>
      <c r="F54" s="2"/>
      <c r="G54" s="2"/>
      <c r="H54" s="3"/>
      <c r="I54" s="3"/>
      <c r="J54" s="3"/>
      <c r="K54" s="2"/>
      <c r="L54" s="5"/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/>
      <c r="B55" s="2"/>
      <c r="C55" s="133"/>
      <c r="D55" s="2"/>
      <c r="E55" s="2"/>
      <c r="F55" s="2"/>
      <c r="G55" s="2"/>
      <c r="H55" s="3"/>
      <c r="I55" s="3"/>
      <c r="J55" s="3"/>
      <c r="K55" s="2"/>
      <c r="L55" s="5"/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/>
      <c r="B56" s="2"/>
      <c r="C56" s="133"/>
      <c r="D56" s="2"/>
      <c r="E56" s="2"/>
      <c r="F56" s="2"/>
      <c r="G56" s="2"/>
      <c r="H56" s="3"/>
      <c r="I56" s="3"/>
      <c r="J56" s="3"/>
      <c r="K56" s="2"/>
      <c r="L56" s="5"/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/>
      <c r="B57" s="2"/>
      <c r="C57" s="133"/>
      <c r="D57" s="2"/>
      <c r="E57" s="2"/>
      <c r="F57" s="2"/>
      <c r="G57" s="2"/>
      <c r="H57" s="3"/>
      <c r="I57" s="3"/>
      <c r="J57" s="3"/>
      <c r="K57" s="2"/>
      <c r="L57" s="5"/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/>
      <c r="B58" s="2"/>
      <c r="C58" s="133"/>
      <c r="D58" s="2"/>
      <c r="E58" s="16"/>
      <c r="F58" s="2"/>
      <c r="G58" s="2"/>
      <c r="H58" s="3"/>
      <c r="I58" s="3"/>
      <c r="J58" s="3"/>
      <c r="K58" s="2"/>
      <c r="L58" s="5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/>
      <c r="B59" s="2"/>
      <c r="C59" s="133"/>
      <c r="D59" s="2"/>
      <c r="E59" s="16"/>
      <c r="F59" s="2"/>
      <c r="G59" s="2"/>
      <c r="H59" s="3"/>
      <c r="I59" s="8"/>
      <c r="J59" s="3"/>
      <c r="K59" s="4"/>
      <c r="L59" s="5"/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/>
      <c r="B60" s="2"/>
      <c r="C60" s="133"/>
      <c r="D60" s="2"/>
      <c r="E60" s="16"/>
      <c r="F60" s="2"/>
      <c r="G60" s="2"/>
      <c r="H60" s="3"/>
      <c r="I60" s="3"/>
      <c r="J60" s="3"/>
      <c r="K60" s="2"/>
      <c r="L60" s="5"/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/>
      <c r="B61" s="2"/>
      <c r="C61" s="133"/>
      <c r="D61" s="2"/>
      <c r="E61" s="18"/>
      <c r="F61" s="2"/>
      <c r="G61" s="2"/>
      <c r="H61" s="3"/>
      <c r="I61" s="8"/>
      <c r="J61" s="3"/>
      <c r="K61" s="4"/>
      <c r="L61" s="5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/>
      <c r="B62" s="2"/>
      <c r="C62" s="133"/>
      <c r="D62" s="2"/>
      <c r="E62" s="16"/>
      <c r="F62" s="2"/>
      <c r="G62" s="2"/>
      <c r="H62" s="3"/>
      <c r="I62" s="8"/>
      <c r="J62" s="3"/>
      <c r="K62" s="4"/>
      <c r="L62" s="5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6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8"/>
      <c r="F65" s="2"/>
      <c r="G65" s="2"/>
      <c r="H65" s="3"/>
      <c r="I65" s="3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16"/>
      <c r="F66" s="2"/>
      <c r="G66" s="2"/>
      <c r="H66" s="3"/>
      <c r="I66" s="8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9"/>
      <c r="F67" s="2"/>
      <c r="G67" s="2"/>
      <c r="H67" s="3"/>
      <c r="I67" s="3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1"/>
      <c r="F70" s="2"/>
      <c r="G70" s="2"/>
      <c r="H70" s="3"/>
      <c r="I70" s="8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4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"/>
      <c r="F74" s="2"/>
      <c r="G74" s="2"/>
      <c r="H74" s="3"/>
      <c r="I74" s="3"/>
      <c r="J74" s="3"/>
      <c r="K74" s="2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2"/>
      <c r="E75" s="21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165"/>
      <c r="E76" s="22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1"/>
      <c r="F77" s="2"/>
      <c r="G77" s="2"/>
      <c r="H77" s="3"/>
      <c r="I77" s="8"/>
      <c r="J77" s="3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"/>
      <c r="F78" s="2"/>
      <c r="G78" s="2"/>
      <c r="H78" s="3"/>
      <c r="I78" s="3"/>
      <c r="J78" s="2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1"/>
      <c r="F82" s="2"/>
      <c r="G82" s="2"/>
      <c r="H82" s="3"/>
      <c r="I82" s="8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3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2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9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2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2"/>
      <c r="C89" s="133"/>
      <c r="D89" s="2"/>
      <c r="E89" s="9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165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1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3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2"/>
      <c r="F99" s="2"/>
      <c r="G99" s="2"/>
      <c r="H99" s="3"/>
      <c r="I99" s="8"/>
      <c r="J99" s="2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9"/>
      <c r="F100" s="2"/>
      <c r="G100" s="2"/>
      <c r="H100" s="3"/>
      <c r="I100" s="3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8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2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9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3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8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2"/>
      <c r="C129" s="133"/>
      <c r="D129" s="2"/>
      <c r="E129" s="2"/>
      <c r="F129" s="2"/>
      <c r="G129" s="2"/>
      <c r="H129" s="3"/>
      <c r="I129" s="3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10"/>
      <c r="C130" s="133"/>
      <c r="D130" s="10"/>
      <c r="E130" s="10"/>
      <c r="F130" s="10"/>
      <c r="G130" s="10"/>
      <c r="H130" s="8"/>
      <c r="I130" s="8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1"/>
      <c r="B200" s="12"/>
      <c r="C200" s="134"/>
      <c r="D200" s="12"/>
      <c r="E200" s="12"/>
      <c r="F200" s="12"/>
      <c r="G200" s="12"/>
      <c r="H200" s="13"/>
      <c r="I200" s="13"/>
      <c r="J200" s="13"/>
      <c r="K200" s="12"/>
      <c r="L200" s="14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</sheetData>
  <sheetProtection sheet="1" formatCells="0" selectLockedCells="1" sort="0" autoFilter="0" pivotTables="0"/>
  <autoFilter ref="A1:L2" xr:uid="{33F7B5EE-3B25-45C0-9521-5CD77B61364E}"/>
  <mergeCells count="22">
    <mergeCell ref="Q47:R47"/>
    <mergeCell ref="N51:O51"/>
    <mergeCell ref="N30:O30"/>
    <mergeCell ref="N32:R32"/>
    <mergeCell ref="S32:V32"/>
    <mergeCell ref="N33:P33"/>
    <mergeCell ref="N41:O41"/>
    <mergeCell ref="N42:P42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</mergeCells>
  <conditionalFormatting sqref="A2:L200">
    <cfRule type="expression" dxfId="29" priority="3">
      <formula>$C2="Outra"</formula>
    </cfRule>
    <cfRule type="expression" dxfId="28" priority="4">
      <formula>$C2="Website"</formula>
    </cfRule>
    <cfRule type="expression" dxfId="27" priority="5">
      <formula>$C2="CitySightSeeing"</formula>
    </cfRule>
    <cfRule type="expression" dxfId="26" priority="6">
      <formula>$C2="Where To"</formula>
    </cfRule>
  </conditionalFormatting>
  <conditionalFormatting sqref="K2:K200">
    <cfRule type="containsText" dxfId="25" priority="1" operator="containsText" text="Não">
      <formula>NOT(ISERROR(SEARCH("Não",K2)))</formula>
    </cfRule>
    <cfRule type="containsText" dxfId="24" priority="2" operator="containsText" text="Sim">
      <formula>NOT(ISERROR(SEARCH("Sim",K2)))</formula>
    </cfRule>
  </conditionalFormatting>
  <dataValidations count="4">
    <dataValidation type="list" allowBlank="1" showInputMessage="1" showErrorMessage="1" sqref="K2:L200" xr:uid="{9F79D2ED-35AA-4B42-8887-AF7C12C23D96}">
      <formula1>$W$2:$W$3</formula1>
    </dataValidation>
    <dataValidation type="list" allowBlank="1" showInputMessage="1" showErrorMessage="1" sqref="J2:J200 V34:V51" xr:uid="{EAA0DB54-DF95-4963-9FE7-F7E4A1FBF69F}">
      <formula1>$Y$2:$Y$11</formula1>
    </dataValidation>
    <dataValidation type="list" allowBlank="1" showInputMessage="1" showErrorMessage="1" sqref="S34:S51 A2:A200" xr:uid="{366F5608-B4D4-468F-B9EE-5A2E7964CB97}">
      <formula1>$X$2:$X$32</formula1>
    </dataValidation>
    <dataValidation type="list" allowBlank="1" showInputMessage="1" showErrorMessage="1" sqref="C2:C200" xr:uid="{2A31D06A-9EF8-4305-B80F-69DF956051E2}">
      <formula1>$N$2:$N$7</formula1>
    </dataValidation>
  </dataValidations>
  <pageMargins left="0.7" right="0.7" top="0.75" bottom="0.75" header="0.3" footer="0.3"/>
  <pageSetup scale="2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122F-450F-4D4E-A9A7-3B8C78AA607E}">
  <sheetPr>
    <pageSetUpPr fitToPage="1"/>
  </sheetPr>
  <dimension ref="A1:BC616"/>
  <sheetViews>
    <sheetView topLeftCell="C1" zoomScale="80" zoomScaleNormal="80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/>
      <c r="B2" s="2"/>
      <c r="C2" s="133"/>
      <c r="D2" s="2"/>
      <c r="E2" s="16"/>
      <c r="F2" s="2"/>
      <c r="G2" s="2"/>
      <c r="H2" s="3"/>
      <c r="I2" s="3"/>
      <c r="J2" s="3"/>
      <c r="K2" s="4"/>
      <c r="L2" s="5"/>
      <c r="M2" s="144"/>
      <c r="N2" s="61" t="s">
        <v>17</v>
      </c>
      <c r="O2" s="62">
        <f>SUMIFS(H2:H200,C2:C200,N2,L2:L200,"Sim")</f>
        <v>0</v>
      </c>
      <c r="P2" s="62">
        <f>O2*0.3</f>
        <v>0</v>
      </c>
      <c r="Q2" s="62">
        <f>SUMIFS(I2:I200,C2:C200,N2,K2:K200,"Sim")</f>
        <v>0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/>
      <c r="B3" s="2"/>
      <c r="C3" s="133"/>
      <c r="D3" s="2"/>
      <c r="E3" s="16"/>
      <c r="F3" s="2"/>
      <c r="G3" s="2"/>
      <c r="H3" s="3"/>
      <c r="I3" s="3"/>
      <c r="J3" s="3"/>
      <c r="K3" s="4"/>
      <c r="L3" s="5"/>
      <c r="M3" s="144"/>
      <c r="N3" s="67" t="s">
        <v>13</v>
      </c>
      <c r="O3" s="68">
        <f>SUMIFS(H2:H200,C2:C200,N3,L2:L200,"Não")</f>
        <v>0</v>
      </c>
      <c r="P3" s="68">
        <f>SUMIFS(I2:I200,C2:C200,N3,L2:L200,"Não")</f>
        <v>0</v>
      </c>
      <c r="Q3" s="68">
        <f>SUMIFS(I2:I200,C2:C200,N3,K2:K200,"Sim")</f>
        <v>0</v>
      </c>
      <c r="R3" s="69">
        <f>SUMIFS(H2:H200,C2:C200,N3,K2:K200,"Sim")-Q3-Q5</f>
        <v>0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/>
      <c r="B4" s="2"/>
      <c r="C4" s="133"/>
      <c r="D4" s="2"/>
      <c r="E4" s="16"/>
      <c r="F4" s="2"/>
      <c r="G4" s="2"/>
      <c r="H4" s="3"/>
      <c r="I4" s="3"/>
      <c r="J4" s="3"/>
      <c r="K4" s="4"/>
      <c r="L4" s="5"/>
      <c r="M4" s="144"/>
      <c r="N4" s="67" t="s">
        <v>22</v>
      </c>
      <c r="O4" s="68">
        <f>SUMIFS(H2:H200,C2:C200,N4,L2:L200,"Não")</f>
        <v>0</v>
      </c>
      <c r="P4" s="68">
        <f>O4*0.25</f>
        <v>0</v>
      </c>
      <c r="Q4" s="68">
        <f>SUMIFS(I2:I199,C2:C199,N4,K2:K199,"Sim")</f>
        <v>0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/>
      <c r="B5" s="2"/>
      <c r="C5" s="133"/>
      <c r="D5" s="2"/>
      <c r="E5" s="16"/>
      <c r="F5" s="2"/>
      <c r="G5" s="2"/>
      <c r="H5" s="3"/>
      <c r="I5" s="3"/>
      <c r="J5" s="3"/>
      <c r="K5" s="4"/>
      <c r="L5" s="5"/>
      <c r="M5" s="144"/>
      <c r="N5" s="67" t="s">
        <v>20</v>
      </c>
      <c r="O5" s="68">
        <f>SUMIFS(H2:H200,C2:C200,N5,L2:L200,"Não")</f>
        <v>0</v>
      </c>
      <c r="P5" s="68">
        <f>SUMIFS(I2:I200,C2:C200,N5,L2:L200,"Não")</f>
        <v>0</v>
      </c>
      <c r="Q5" s="68">
        <f>SUMIFS(I2:I200,C2:C200,N5,K2:K200,"Sim")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/>
      <c r="B6" s="2"/>
      <c r="C6" s="133"/>
      <c r="D6" s="2"/>
      <c r="E6" s="16"/>
      <c r="F6" s="2"/>
      <c r="G6" s="2"/>
      <c r="H6" s="3"/>
      <c r="I6" s="3"/>
      <c r="J6" s="3"/>
      <c r="K6" s="4"/>
      <c r="L6" s="5"/>
      <c r="M6" s="144"/>
      <c r="N6" s="67" t="s">
        <v>23</v>
      </c>
      <c r="O6" s="68">
        <f>SUMIFS(H2:H200,C2:C200,N6,L2:L200,"Não")</f>
        <v>0</v>
      </c>
      <c r="P6" s="68">
        <f>O6*0.15</f>
        <v>0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/>
      <c r="B7" s="2"/>
      <c r="C7" s="133"/>
      <c r="D7" s="2"/>
      <c r="E7" s="16"/>
      <c r="F7" s="2"/>
      <c r="G7" s="2"/>
      <c r="H7" s="3"/>
      <c r="I7" s="3"/>
      <c r="J7" s="3"/>
      <c r="K7" s="4"/>
      <c r="L7" s="5"/>
      <c r="M7" s="144"/>
      <c r="N7" s="73" t="s">
        <v>24</v>
      </c>
      <c r="O7" s="74">
        <f>SUMIFS(H2:H200,C2:C200,N7,L2:L200,"Não")</f>
        <v>0</v>
      </c>
      <c r="P7" s="74">
        <f>SUMIFS(I2:I200,C2:C200,N7,L2:L200,"Não")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/>
      <c r="B8" s="2"/>
      <c r="C8" s="133"/>
      <c r="D8" s="2"/>
      <c r="E8" s="16"/>
      <c r="F8" s="2"/>
      <c r="G8" s="2"/>
      <c r="H8" s="3"/>
      <c r="I8" s="3"/>
      <c r="J8" s="3"/>
      <c r="K8" s="4"/>
      <c r="L8" s="5"/>
      <c r="M8" s="144"/>
      <c r="N8" s="77" t="s">
        <v>25</v>
      </c>
      <c r="O8" s="78">
        <f>SUM(O2:O3)</f>
        <v>0</v>
      </c>
      <c r="P8" s="78">
        <f>SUM(P2:P3)</f>
        <v>0</v>
      </c>
      <c r="Q8" s="79"/>
      <c r="R8" s="80">
        <f>SUM(R3+R4)+Nov.25!R7</f>
        <v>898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/>
      <c r="B9" s="17"/>
      <c r="C9" s="133"/>
      <c r="D9" s="2"/>
      <c r="E9" s="16"/>
      <c r="F9" s="2"/>
      <c r="G9" s="2"/>
      <c r="H9" s="3"/>
      <c r="I9" s="3"/>
      <c r="J9" s="3"/>
      <c r="K9" s="4"/>
      <c r="L9" s="5"/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/>
      <c r="B10" s="2"/>
      <c r="C10" s="133"/>
      <c r="D10" s="2"/>
      <c r="E10" s="16"/>
      <c r="F10" s="2"/>
      <c r="G10" s="2"/>
      <c r="H10" s="3"/>
      <c r="I10" s="3"/>
      <c r="J10" s="3"/>
      <c r="K10" s="4"/>
      <c r="L10" s="5"/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/>
      <c r="B11" s="2"/>
      <c r="C11" s="133"/>
      <c r="D11" s="2"/>
      <c r="E11" s="16"/>
      <c r="F11" s="2"/>
      <c r="G11" s="2"/>
      <c r="H11" s="3"/>
      <c r="I11" s="3"/>
      <c r="J11" s="3"/>
      <c r="K11" s="4"/>
      <c r="L11" s="5"/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/>
      <c r="B12" s="2"/>
      <c r="C12" s="133"/>
      <c r="D12" s="165"/>
      <c r="E12" s="16"/>
      <c r="F12" s="2"/>
      <c r="G12" s="2"/>
      <c r="H12" s="3"/>
      <c r="I12" s="3"/>
      <c r="J12" s="3"/>
      <c r="K12" s="4"/>
      <c r="L12" s="5"/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/>
      <c r="B13" s="2"/>
      <c r="C13" s="133"/>
      <c r="D13" s="2"/>
      <c r="E13" s="16"/>
      <c r="F13" s="2"/>
      <c r="G13" s="2"/>
      <c r="H13" s="3"/>
      <c r="I13" s="3"/>
      <c r="J13" s="3"/>
      <c r="K13" s="4"/>
      <c r="L13" s="5"/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/>
      <c r="B14" s="2"/>
      <c r="C14" s="133"/>
      <c r="D14" s="2"/>
      <c r="E14" s="16"/>
      <c r="F14" s="2"/>
      <c r="G14" s="2"/>
      <c r="H14" s="3"/>
      <c r="I14" s="3"/>
      <c r="J14" s="3"/>
      <c r="K14" s="4"/>
      <c r="L14" s="5"/>
      <c r="M14" s="144"/>
      <c r="N14" s="91">
        <v>100</v>
      </c>
      <c r="O14" s="7">
        <v>8</v>
      </c>
      <c r="P14" s="94">
        <f t="shared" si="0"/>
        <v>800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/>
      <c r="B15" s="17"/>
      <c r="C15" s="133"/>
      <c r="D15" s="2"/>
      <c r="E15" s="18"/>
      <c r="F15" s="2"/>
      <c r="G15" s="2"/>
      <c r="H15" s="3"/>
      <c r="I15" s="3"/>
      <c r="J15" s="3"/>
      <c r="K15" s="4"/>
      <c r="L15" s="5"/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/>
      <c r="B16" s="2"/>
      <c r="C16" s="133"/>
      <c r="D16" s="2"/>
      <c r="E16" s="16"/>
      <c r="F16" s="2"/>
      <c r="G16" s="2"/>
      <c r="H16" s="3"/>
      <c r="I16" s="3"/>
      <c r="J16" s="3"/>
      <c r="K16" s="4"/>
      <c r="L16" s="5"/>
      <c r="M16" s="144"/>
      <c r="N16" s="91">
        <v>20</v>
      </c>
      <c r="O16" s="7">
        <v>24</v>
      </c>
      <c r="P16" s="94">
        <f>N16*O16</f>
        <v>480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/>
      <c r="B17" s="2"/>
      <c r="C17" s="133"/>
      <c r="D17" s="2"/>
      <c r="E17" s="16"/>
      <c r="F17" s="2"/>
      <c r="G17" s="2"/>
      <c r="H17" s="3"/>
      <c r="I17" s="3"/>
      <c r="J17" s="3"/>
      <c r="K17" s="4"/>
      <c r="L17" s="5"/>
      <c r="M17" s="144"/>
      <c r="N17" s="91">
        <v>10</v>
      </c>
      <c r="O17" s="7">
        <v>1</v>
      </c>
      <c r="P17" s="94">
        <f t="shared" ref="P17:P18" si="2">N17*O17</f>
        <v>10</v>
      </c>
      <c r="Q17" s="91">
        <v>10</v>
      </c>
      <c r="R17" s="7">
        <v>7</v>
      </c>
      <c r="S17" s="103">
        <f>Q17*R17</f>
        <v>70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/>
      <c r="B18" s="2"/>
      <c r="C18" s="133"/>
      <c r="D18" s="2"/>
      <c r="E18" s="2"/>
      <c r="F18" s="2"/>
      <c r="G18" s="2"/>
      <c r="H18" s="3"/>
      <c r="I18" s="3"/>
      <c r="J18" s="3"/>
      <c r="K18" s="4"/>
      <c r="L18" s="5"/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/>
      <c r="B19" s="2"/>
      <c r="C19" s="133"/>
      <c r="D19" s="2"/>
      <c r="E19" s="18"/>
      <c r="F19" s="2"/>
      <c r="G19" s="2"/>
      <c r="H19" s="3"/>
      <c r="I19" s="3"/>
      <c r="J19" s="3"/>
      <c r="K19" s="4"/>
      <c r="L19" s="5"/>
      <c r="M19" s="144"/>
      <c r="N19" s="308"/>
      <c r="O19" s="309"/>
      <c r="P19" s="99">
        <f>SUM(P12:P18)</f>
        <v>3045</v>
      </c>
      <c r="Q19" s="310"/>
      <c r="R19" s="311"/>
      <c r="S19" s="107">
        <f>SUM(S12:S18)</f>
        <v>75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/>
      <c r="B20" s="2"/>
      <c r="C20" s="133"/>
      <c r="D20" s="2"/>
      <c r="E20" s="20"/>
      <c r="F20" s="2"/>
      <c r="G20" s="2"/>
      <c r="H20" s="3"/>
      <c r="I20" s="3"/>
      <c r="J20" s="3"/>
      <c r="K20" s="4"/>
      <c r="L20" s="5"/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/>
      <c r="B21" s="2"/>
      <c r="C21" s="133"/>
      <c r="D21" s="2"/>
      <c r="E21" s="16"/>
      <c r="F21" s="2"/>
      <c r="G21" s="2"/>
      <c r="H21" s="3"/>
      <c r="I21" s="3"/>
      <c r="J21" s="3"/>
      <c r="K21" s="4"/>
      <c r="L21" s="5"/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/>
      <c r="B22" s="2"/>
      <c r="C22" s="133"/>
      <c r="D22" s="2"/>
      <c r="E22" s="2"/>
      <c r="F22" s="2"/>
      <c r="G22" s="2"/>
      <c r="H22" s="3"/>
      <c r="I22" s="3"/>
      <c r="J22" s="3"/>
      <c r="K22" s="2"/>
      <c r="L22" s="5"/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2</v>
      </c>
      <c r="S22" s="103">
        <f t="shared" ref="S22:S28" si="5">Q22*R22</f>
        <v>2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/>
      <c r="B23" s="2"/>
      <c r="C23" s="133"/>
      <c r="D23" s="2"/>
      <c r="E23" s="16"/>
      <c r="F23" s="2"/>
      <c r="G23" s="2"/>
      <c r="H23" s="3"/>
      <c r="I23" s="3"/>
      <c r="J23" s="3"/>
      <c r="K23" s="4"/>
      <c r="L23" s="5"/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3</v>
      </c>
      <c r="S23" s="103">
        <f t="shared" si="5"/>
        <v>1.5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/>
      <c r="B24" s="2"/>
      <c r="C24" s="133"/>
      <c r="D24" s="2"/>
      <c r="E24" s="18"/>
      <c r="F24" s="2"/>
      <c r="G24" s="2"/>
      <c r="H24" s="3"/>
      <c r="I24" s="3"/>
      <c r="J24" s="3"/>
      <c r="K24" s="4"/>
      <c r="L24" s="5"/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/>
      <c r="B25" s="2"/>
      <c r="C25" s="133"/>
      <c r="D25" s="2"/>
      <c r="E25" s="16"/>
      <c r="F25" s="2"/>
      <c r="G25" s="2"/>
      <c r="H25" s="3"/>
      <c r="I25" s="3"/>
      <c r="J25" s="3"/>
      <c r="K25" s="4"/>
      <c r="L25" s="5"/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/>
      <c r="B26" s="2"/>
      <c r="C26" s="133"/>
      <c r="D26" s="2"/>
      <c r="E26" s="16"/>
      <c r="F26" s="2"/>
      <c r="G26" s="2"/>
      <c r="H26" s="3"/>
      <c r="I26" s="3"/>
      <c r="J26" s="3"/>
      <c r="K26" s="4"/>
      <c r="L26" s="5"/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/>
      <c r="B27" s="2"/>
      <c r="C27" s="133"/>
      <c r="D27" s="2"/>
      <c r="E27" s="16"/>
      <c r="F27" s="2"/>
      <c r="G27" s="2"/>
      <c r="H27" s="3"/>
      <c r="I27" s="3"/>
      <c r="J27" s="3"/>
      <c r="K27" s="4"/>
      <c r="L27" s="5"/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/>
      <c r="B28" s="17"/>
      <c r="C28" s="133"/>
      <c r="D28" s="2"/>
      <c r="E28" s="16"/>
      <c r="F28" s="2"/>
      <c r="G28" s="2"/>
      <c r="H28" s="3"/>
      <c r="I28" s="3"/>
      <c r="J28" s="3"/>
      <c r="K28" s="4"/>
      <c r="L28" s="5"/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/>
      <c r="B29" s="2"/>
      <c r="C29" s="133"/>
      <c r="D29" s="2"/>
      <c r="E29" s="16"/>
      <c r="F29" s="2"/>
      <c r="G29" s="2"/>
      <c r="H29" s="3"/>
      <c r="I29" s="3"/>
      <c r="J29" s="3"/>
      <c r="K29" s="4"/>
      <c r="L29" s="5"/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9.9499999999999993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/>
      <c r="B30" s="2"/>
      <c r="C30" s="133"/>
      <c r="D30" s="2"/>
      <c r="E30" s="16"/>
      <c r="F30" s="2"/>
      <c r="G30" s="2"/>
      <c r="H30" s="3"/>
      <c r="I30" s="3"/>
      <c r="J30" s="3"/>
      <c r="K30" s="4"/>
      <c r="L30" s="5"/>
      <c r="M30" s="144"/>
      <c r="N30" s="271" t="s">
        <v>25</v>
      </c>
      <c r="O30" s="272"/>
      <c r="P30" s="112">
        <f>SUM(P19+P29-R8)</f>
        <v>2147.5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/>
      <c r="B31" s="2"/>
      <c r="C31" s="133"/>
      <c r="D31" s="2"/>
      <c r="E31" s="16"/>
      <c r="F31" s="2"/>
      <c r="G31" s="2"/>
      <c r="H31" s="3"/>
      <c r="I31" s="3"/>
      <c r="J31" s="3"/>
      <c r="K31" s="4"/>
      <c r="L31" s="5"/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/>
      <c r="B32" s="2"/>
      <c r="C32" s="133"/>
      <c r="D32" s="2"/>
      <c r="E32" s="16"/>
      <c r="F32" s="2"/>
      <c r="G32" s="2"/>
      <c r="H32" s="3"/>
      <c r="I32" s="3"/>
      <c r="J32" s="3"/>
      <c r="K32" s="4"/>
      <c r="L32" s="5"/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/>
      <c r="B33" s="2"/>
      <c r="C33" s="133"/>
      <c r="D33" s="2"/>
      <c r="E33" s="16"/>
      <c r="F33" s="2"/>
      <c r="G33" s="2"/>
      <c r="H33" s="3"/>
      <c r="I33" s="3"/>
      <c r="J33" s="3"/>
      <c r="K33" s="4"/>
      <c r="L33" s="5"/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/>
      <c r="B34" s="2"/>
      <c r="C34" s="133"/>
      <c r="D34" s="2"/>
      <c r="E34" s="16"/>
      <c r="F34" s="2"/>
      <c r="G34" s="2"/>
      <c r="H34" s="3"/>
      <c r="I34" s="3"/>
      <c r="J34" s="3"/>
      <c r="K34" s="4"/>
      <c r="L34" s="5"/>
      <c r="M34" s="144"/>
      <c r="N34" s="100">
        <v>500</v>
      </c>
      <c r="O34" s="35">
        <v>0</v>
      </c>
      <c r="P34" s="96">
        <f t="shared" ref="P34" si="6">N34*O34</f>
        <v>0</v>
      </c>
      <c r="Q34" s="38" t="s">
        <v>18</v>
      </c>
      <c r="R34" s="39">
        <v>1.7</v>
      </c>
      <c r="S34" s="84"/>
      <c r="T34" s="85" t="s">
        <v>17</v>
      </c>
      <c r="U34" s="86">
        <f>Q2</f>
        <v>0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/>
      <c r="B35" s="2"/>
      <c r="C35" s="133"/>
      <c r="D35" s="2"/>
      <c r="E35" s="16"/>
      <c r="F35" s="2"/>
      <c r="G35" s="2"/>
      <c r="H35" s="3"/>
      <c r="I35" s="3"/>
      <c r="J35" s="3"/>
      <c r="K35" s="4"/>
      <c r="L35" s="5"/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</f>
        <v>0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/>
      <c r="B36" s="2"/>
      <c r="C36" s="133"/>
      <c r="D36" s="2"/>
      <c r="E36" s="16"/>
      <c r="F36" s="2"/>
      <c r="G36" s="2"/>
      <c r="H36" s="3"/>
      <c r="I36" s="8"/>
      <c r="J36" s="3"/>
      <c r="K36" s="4"/>
      <c r="L36" s="5"/>
      <c r="M36" s="144"/>
      <c r="N36" s="91">
        <v>100</v>
      </c>
      <c r="O36" s="7">
        <v>4</v>
      </c>
      <c r="P36" s="94">
        <f>N36*O36</f>
        <v>400</v>
      </c>
      <c r="Q36" s="28"/>
      <c r="R36" s="25"/>
      <c r="S36" s="87"/>
      <c r="T36" s="88" t="s">
        <v>22</v>
      </c>
      <c r="U36" s="89">
        <f>Q4</f>
        <v>0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/>
      <c r="B37" s="2"/>
      <c r="C37" s="133"/>
      <c r="D37" s="2"/>
      <c r="E37" s="16"/>
      <c r="F37" s="2"/>
      <c r="G37" s="2"/>
      <c r="H37" s="3"/>
      <c r="I37" s="8"/>
      <c r="J37" s="3"/>
      <c r="K37" s="4"/>
      <c r="L37" s="5"/>
      <c r="M37" s="144"/>
      <c r="N37" s="91">
        <v>50</v>
      </c>
      <c r="O37" s="7">
        <v>5</v>
      </c>
      <c r="P37" s="94">
        <f>N37*O37</f>
        <v>250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/>
      <c r="B38" s="2"/>
      <c r="C38" s="133"/>
      <c r="D38" s="2"/>
      <c r="E38" s="2"/>
      <c r="F38" s="2"/>
      <c r="G38" s="2"/>
      <c r="H38" s="3"/>
      <c r="I38" s="3"/>
      <c r="J38" s="3"/>
      <c r="K38" s="4"/>
      <c r="L38" s="5"/>
      <c r="M38" s="144"/>
      <c r="N38" s="91">
        <v>20</v>
      </c>
      <c r="O38" s="7">
        <v>12</v>
      </c>
      <c r="P38" s="94">
        <f>N38*O38</f>
        <v>240</v>
      </c>
      <c r="Q38" s="28"/>
      <c r="R38" s="25"/>
      <c r="S38" s="40"/>
      <c r="T38" s="41"/>
      <c r="U38" s="42"/>
      <c r="V38" s="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/>
      <c r="B39" s="2"/>
      <c r="C39" s="133"/>
      <c r="D39" s="2"/>
      <c r="E39" s="16"/>
      <c r="F39" s="2"/>
      <c r="G39" s="2"/>
      <c r="H39" s="3"/>
      <c r="I39" s="8"/>
      <c r="J39" s="3"/>
      <c r="K39" s="4"/>
      <c r="L39" s="5"/>
      <c r="M39" s="144"/>
      <c r="N39" s="91">
        <v>10</v>
      </c>
      <c r="O39" s="7">
        <v>6</v>
      </c>
      <c r="P39" s="94">
        <f>N39*O39</f>
        <v>60</v>
      </c>
      <c r="Q39" s="28"/>
      <c r="R39" s="25"/>
      <c r="S39" s="40"/>
      <c r="T39" s="41"/>
      <c r="U39" s="42"/>
      <c r="V39" s="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/>
      <c r="B40" s="2"/>
      <c r="C40" s="133"/>
      <c r="D40" s="2"/>
      <c r="E40" s="16"/>
      <c r="F40" s="2"/>
      <c r="G40" s="2"/>
      <c r="H40" s="3"/>
      <c r="I40" s="3"/>
      <c r="J40" s="3"/>
      <c r="K40" s="4"/>
      <c r="L40" s="5"/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/>
      <c r="T40" s="41"/>
      <c r="U40" s="42"/>
      <c r="V40" s="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/>
      <c r="B41" s="2"/>
      <c r="C41" s="133"/>
      <c r="D41" s="2"/>
      <c r="E41" s="16"/>
      <c r="F41" s="2"/>
      <c r="G41" s="2"/>
      <c r="H41" s="3"/>
      <c r="I41" s="3"/>
      <c r="J41" s="3"/>
      <c r="K41" s="4"/>
      <c r="L41" s="5"/>
      <c r="M41" s="144"/>
      <c r="N41" s="279"/>
      <c r="O41" s="280"/>
      <c r="P41" s="119">
        <f>SUM(P34:P40)</f>
        <v>950</v>
      </c>
      <c r="Q41" s="28"/>
      <c r="R41" s="25"/>
      <c r="S41" s="40"/>
      <c r="T41" s="41"/>
      <c r="U41" s="42"/>
      <c r="V41" s="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/>
      <c r="B42" s="2"/>
      <c r="C42" s="133"/>
      <c r="D42" s="2"/>
      <c r="E42" s="18"/>
      <c r="F42" s="2"/>
      <c r="G42" s="2"/>
      <c r="H42" s="3"/>
      <c r="I42" s="8"/>
      <c r="J42" s="3"/>
      <c r="K42" s="4"/>
      <c r="L42" s="5"/>
      <c r="M42" s="144"/>
      <c r="N42" s="281" t="s">
        <v>44</v>
      </c>
      <c r="O42" s="282"/>
      <c r="P42" s="283"/>
      <c r="Q42" s="28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/>
      <c r="B43" s="2"/>
      <c r="C43" s="133"/>
      <c r="D43" s="2"/>
      <c r="E43" s="16"/>
      <c r="F43" s="2"/>
      <c r="G43" s="2"/>
      <c r="H43" s="3"/>
      <c r="I43" s="8"/>
      <c r="J43" s="3"/>
      <c r="K43" s="4"/>
      <c r="L43" s="5"/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/>
      <c r="B44" s="2"/>
      <c r="C44" s="133"/>
      <c r="D44" s="2"/>
      <c r="E44" s="16"/>
      <c r="F44" s="2"/>
      <c r="G44" s="2"/>
      <c r="H44" s="3"/>
      <c r="I44" s="8"/>
      <c r="J44" s="3"/>
      <c r="K44" s="4"/>
      <c r="L44" s="5"/>
      <c r="M44" s="144"/>
      <c r="N44" s="91">
        <v>1</v>
      </c>
      <c r="O44" s="7">
        <v>3</v>
      </c>
      <c r="P44" s="94">
        <f>N44*O44</f>
        <v>3</v>
      </c>
      <c r="Q44" s="29"/>
      <c r="R44" s="25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/>
      <c r="B45" s="2"/>
      <c r="C45" s="133"/>
      <c r="D45" s="2"/>
      <c r="E45" s="18"/>
      <c r="F45" s="2"/>
      <c r="G45" s="2"/>
      <c r="H45" s="3"/>
      <c r="I45" s="8"/>
      <c r="J45" s="3"/>
      <c r="K45" s="4"/>
      <c r="L45" s="5"/>
      <c r="M45" s="144"/>
      <c r="N45" s="91">
        <v>0.5</v>
      </c>
      <c r="O45" s="7">
        <v>0</v>
      </c>
      <c r="P45" s="94">
        <f>N45*O45</f>
        <v>0</v>
      </c>
      <c r="Q45" s="31"/>
      <c r="R45" s="32"/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/>
      <c r="B46" s="2"/>
      <c r="C46" s="133"/>
      <c r="D46" s="2"/>
      <c r="E46" s="16"/>
      <c r="F46" s="2"/>
      <c r="G46" s="2"/>
      <c r="H46" s="3"/>
      <c r="I46" s="8"/>
      <c r="J46" s="3"/>
      <c r="K46" s="4"/>
      <c r="L46" s="5"/>
      <c r="M46" s="144"/>
      <c r="N46" s="91">
        <v>0.2</v>
      </c>
      <c r="O46" s="7">
        <v>1</v>
      </c>
      <c r="P46" s="94">
        <f t="shared" si="8"/>
        <v>0.2</v>
      </c>
      <c r="Q46" s="120" t="s">
        <v>25</v>
      </c>
      <c r="R46" s="119">
        <f>SUM(R34:R45)</f>
        <v>1.7</v>
      </c>
      <c r="S46" s="40"/>
      <c r="T46" s="41"/>
      <c r="U46" s="44"/>
      <c r="V46" s="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/>
      <c r="B47" s="165"/>
      <c r="C47" s="133"/>
      <c r="D47" s="2"/>
      <c r="E47" s="2"/>
      <c r="F47" s="2"/>
      <c r="G47" s="2"/>
      <c r="H47" s="3"/>
      <c r="I47" s="3"/>
      <c r="J47" s="3"/>
      <c r="K47" s="2"/>
      <c r="L47" s="5"/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40"/>
      <c r="T47" s="41"/>
      <c r="U47" s="44"/>
      <c r="V47" s="45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/>
      <c r="B48" s="2"/>
      <c r="C48" s="133"/>
      <c r="D48" s="2"/>
      <c r="E48" s="2"/>
      <c r="F48" s="2"/>
      <c r="G48" s="2"/>
      <c r="H48" s="3"/>
      <c r="I48" s="3"/>
      <c r="J48" s="3"/>
      <c r="K48" s="2"/>
      <c r="L48" s="5"/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20.69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/>
      <c r="B49" s="2"/>
      <c r="C49" s="133"/>
      <c r="D49" s="17"/>
      <c r="E49" s="2"/>
      <c r="F49" s="2"/>
      <c r="G49" s="2"/>
      <c r="H49" s="3"/>
      <c r="I49" s="3"/>
      <c r="J49" s="3"/>
      <c r="K49" s="2"/>
      <c r="L49" s="5"/>
      <c r="M49" s="144"/>
      <c r="N49" s="91">
        <v>0.02</v>
      </c>
      <c r="O49" s="7">
        <v>0</v>
      </c>
      <c r="P49" s="94">
        <f t="shared" si="8"/>
        <v>0</v>
      </c>
      <c r="Q49" s="116" t="s">
        <v>70</v>
      </c>
      <c r="R49" s="122">
        <f>P41+P51+R46</f>
        <v>955.06000000000006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/>
      <c r="B50" s="2"/>
      <c r="C50" s="133"/>
      <c r="D50" s="2"/>
      <c r="E50" s="2"/>
      <c r="F50" s="2"/>
      <c r="G50" s="2"/>
      <c r="H50" s="3"/>
      <c r="I50" s="3"/>
      <c r="J50" s="3"/>
      <c r="K50" s="2"/>
      <c r="L50" s="5"/>
      <c r="M50" s="144"/>
      <c r="N50" s="92">
        <v>0.01</v>
      </c>
      <c r="O50" s="26">
        <v>1</v>
      </c>
      <c r="P50" s="95">
        <f t="shared" si="8"/>
        <v>0.01</v>
      </c>
      <c r="Q50" s="117" t="s">
        <v>59</v>
      </c>
      <c r="R50" s="123">
        <f>R49-R48</f>
        <v>934.37</v>
      </c>
      <c r="S50" s="40"/>
      <c r="T50" s="41"/>
      <c r="U50" s="44"/>
      <c r="V50" s="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/>
      <c r="B51" s="2"/>
      <c r="C51" s="133"/>
      <c r="D51" s="2"/>
      <c r="E51" s="2"/>
      <c r="F51" s="2"/>
      <c r="G51" s="2"/>
      <c r="H51" s="3"/>
      <c r="I51" s="3"/>
      <c r="J51" s="3"/>
      <c r="K51" s="2"/>
      <c r="L51" s="5"/>
      <c r="M51" s="144"/>
      <c r="N51" s="269"/>
      <c r="O51" s="270"/>
      <c r="P51" s="118">
        <f>SUM(P43:P50)</f>
        <v>3.36</v>
      </c>
      <c r="Q51" s="125" t="s">
        <v>60</v>
      </c>
      <c r="R51" s="126">
        <f>R49/9</f>
        <v>106.11777777777779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/>
      <c r="B52" s="2"/>
      <c r="C52" s="133"/>
      <c r="D52" s="2"/>
      <c r="E52" s="2"/>
      <c r="F52" s="2"/>
      <c r="G52" s="2"/>
      <c r="H52" s="3"/>
      <c r="I52" s="8"/>
      <c r="J52" s="3"/>
      <c r="K52" s="4"/>
      <c r="L52" s="5"/>
      <c r="M52" s="144"/>
      <c r="N52" s="143"/>
      <c r="O52" s="143" t="s">
        <v>45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/>
      <c r="B53" s="2"/>
      <c r="C53" s="133"/>
      <c r="D53" s="2"/>
      <c r="E53" s="18"/>
      <c r="F53" s="2"/>
      <c r="G53" s="2"/>
      <c r="H53" s="3"/>
      <c r="I53" s="3"/>
      <c r="J53" s="3"/>
      <c r="K53" s="4"/>
      <c r="L53" s="5"/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/>
      <c r="B54" s="2"/>
      <c r="C54" s="133"/>
      <c r="D54" s="2"/>
      <c r="E54" s="2"/>
      <c r="F54" s="2"/>
      <c r="G54" s="2"/>
      <c r="H54" s="3"/>
      <c r="I54" s="3"/>
      <c r="J54" s="3"/>
      <c r="K54" s="2"/>
      <c r="L54" s="5"/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/>
      <c r="B55" s="2"/>
      <c r="C55" s="133"/>
      <c r="D55" s="2"/>
      <c r="E55" s="2"/>
      <c r="F55" s="2"/>
      <c r="G55" s="2"/>
      <c r="H55" s="3"/>
      <c r="I55" s="3"/>
      <c r="J55" s="3"/>
      <c r="K55" s="2"/>
      <c r="L55" s="5"/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/>
      <c r="B56" s="2"/>
      <c r="C56" s="133"/>
      <c r="D56" s="2"/>
      <c r="E56" s="2"/>
      <c r="F56" s="2"/>
      <c r="G56" s="2"/>
      <c r="H56" s="3"/>
      <c r="I56" s="3"/>
      <c r="J56" s="3"/>
      <c r="K56" s="2"/>
      <c r="L56" s="5"/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/>
      <c r="B57" s="2"/>
      <c r="C57" s="133"/>
      <c r="D57" s="2"/>
      <c r="E57" s="2"/>
      <c r="F57" s="2"/>
      <c r="G57" s="2"/>
      <c r="H57" s="3"/>
      <c r="I57" s="3"/>
      <c r="J57" s="3"/>
      <c r="K57" s="2"/>
      <c r="L57" s="5"/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/>
      <c r="B58" s="2"/>
      <c r="C58" s="133"/>
      <c r="D58" s="2"/>
      <c r="E58" s="16"/>
      <c r="F58" s="2"/>
      <c r="G58" s="2"/>
      <c r="H58" s="3"/>
      <c r="I58" s="3"/>
      <c r="J58" s="3"/>
      <c r="K58" s="2"/>
      <c r="L58" s="5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/>
      <c r="B59" s="2"/>
      <c r="C59" s="133"/>
      <c r="D59" s="2"/>
      <c r="E59" s="16"/>
      <c r="F59" s="2"/>
      <c r="G59" s="2"/>
      <c r="H59" s="3"/>
      <c r="I59" s="8"/>
      <c r="J59" s="3"/>
      <c r="K59" s="4"/>
      <c r="L59" s="5"/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/>
      <c r="B60" s="2"/>
      <c r="C60" s="133"/>
      <c r="D60" s="2"/>
      <c r="E60" s="16"/>
      <c r="F60" s="2"/>
      <c r="G60" s="2"/>
      <c r="H60" s="3"/>
      <c r="I60" s="3"/>
      <c r="J60" s="3"/>
      <c r="K60" s="2"/>
      <c r="L60" s="5"/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/>
      <c r="B61" s="2"/>
      <c r="C61" s="133"/>
      <c r="D61" s="2"/>
      <c r="E61" s="18"/>
      <c r="F61" s="2"/>
      <c r="G61" s="2"/>
      <c r="H61" s="3"/>
      <c r="I61" s="8"/>
      <c r="J61" s="3"/>
      <c r="K61" s="4"/>
      <c r="L61" s="5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/>
      <c r="B62" s="2"/>
      <c r="C62" s="133"/>
      <c r="D62" s="2"/>
      <c r="E62" s="16"/>
      <c r="F62" s="2"/>
      <c r="G62" s="2"/>
      <c r="H62" s="3"/>
      <c r="I62" s="8"/>
      <c r="J62" s="3"/>
      <c r="K62" s="4"/>
      <c r="L62" s="5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6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8"/>
      <c r="F65" s="2"/>
      <c r="G65" s="2"/>
      <c r="H65" s="3"/>
      <c r="I65" s="3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16"/>
      <c r="F66" s="2"/>
      <c r="G66" s="2"/>
      <c r="H66" s="3"/>
      <c r="I66" s="8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9"/>
      <c r="F67" s="2"/>
      <c r="G67" s="2"/>
      <c r="H67" s="3"/>
      <c r="I67" s="3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1"/>
      <c r="F70" s="2"/>
      <c r="G70" s="2"/>
      <c r="H70" s="3"/>
      <c r="I70" s="8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4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"/>
      <c r="F74" s="2"/>
      <c r="G74" s="2"/>
      <c r="H74" s="3"/>
      <c r="I74" s="3"/>
      <c r="J74" s="3"/>
      <c r="K74" s="2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2"/>
      <c r="E75" s="21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165"/>
      <c r="E76" s="22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1"/>
      <c r="F77" s="2"/>
      <c r="G77" s="2"/>
      <c r="H77" s="3"/>
      <c r="I77" s="8"/>
      <c r="J77" s="3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"/>
      <c r="F78" s="2"/>
      <c r="G78" s="2"/>
      <c r="H78" s="3"/>
      <c r="I78" s="3"/>
      <c r="J78" s="2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1"/>
      <c r="F82" s="2"/>
      <c r="G82" s="2"/>
      <c r="H82" s="3"/>
      <c r="I82" s="8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3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2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9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2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2"/>
      <c r="C89" s="133"/>
      <c r="D89" s="2"/>
      <c r="E89" s="9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165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1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3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2"/>
      <c r="F99" s="2"/>
      <c r="G99" s="2"/>
      <c r="H99" s="3"/>
      <c r="I99" s="8"/>
      <c r="J99" s="2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9"/>
      <c r="F100" s="2"/>
      <c r="G100" s="2"/>
      <c r="H100" s="3"/>
      <c r="I100" s="3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8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2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9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3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8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2"/>
      <c r="C129" s="133"/>
      <c r="D129" s="2"/>
      <c r="E129" s="2"/>
      <c r="F129" s="2"/>
      <c r="G129" s="2"/>
      <c r="H129" s="3"/>
      <c r="I129" s="3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10"/>
      <c r="C130" s="133"/>
      <c r="D130" s="10"/>
      <c r="E130" s="10"/>
      <c r="F130" s="10"/>
      <c r="G130" s="10"/>
      <c r="H130" s="8"/>
      <c r="I130" s="8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1"/>
      <c r="B200" s="12"/>
      <c r="C200" s="134"/>
      <c r="D200" s="12"/>
      <c r="E200" s="12"/>
      <c r="F200" s="12"/>
      <c r="G200" s="12"/>
      <c r="H200" s="13"/>
      <c r="I200" s="13"/>
      <c r="J200" s="13"/>
      <c r="K200" s="12"/>
      <c r="L200" s="14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</sheetData>
  <sheetProtection sheet="1" formatCells="0" selectLockedCells="1" sort="0" autoFilter="0" pivotTables="0"/>
  <autoFilter ref="A1:L2" xr:uid="{33F7B5EE-3B25-45C0-9521-5CD77B61364E}"/>
  <mergeCells count="22">
    <mergeCell ref="Q47:R47"/>
    <mergeCell ref="N51:O51"/>
    <mergeCell ref="N30:O30"/>
    <mergeCell ref="N32:R32"/>
    <mergeCell ref="S32:V32"/>
    <mergeCell ref="N33:P33"/>
    <mergeCell ref="N41:O41"/>
    <mergeCell ref="N42:P42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</mergeCells>
  <conditionalFormatting sqref="A2:L200">
    <cfRule type="expression" dxfId="23" priority="3">
      <formula>$C2="Outra"</formula>
    </cfRule>
    <cfRule type="expression" dxfId="22" priority="4">
      <formula>$C2="Website"</formula>
    </cfRule>
    <cfRule type="expression" dxfId="21" priority="5">
      <formula>$C2="CitySightSeeing"</formula>
    </cfRule>
    <cfRule type="expression" dxfId="20" priority="6">
      <formula>$C2="Where To"</formula>
    </cfRule>
  </conditionalFormatting>
  <conditionalFormatting sqref="K2:K200">
    <cfRule type="containsText" dxfId="19" priority="1" operator="containsText" text="Não">
      <formula>NOT(ISERROR(SEARCH("Não",K2)))</formula>
    </cfRule>
    <cfRule type="containsText" dxfId="18" priority="2" operator="containsText" text="Sim">
      <formula>NOT(ISERROR(SEARCH("Sim",K2)))</formula>
    </cfRule>
  </conditionalFormatting>
  <dataValidations count="4">
    <dataValidation type="list" allowBlank="1" showInputMessage="1" showErrorMessage="1" sqref="C2:C200" xr:uid="{3A4FF651-3032-4E6B-9942-68F1EAF7BFBC}">
      <formula1>$N$2:$N$7</formula1>
    </dataValidation>
    <dataValidation type="list" allowBlank="1" showInputMessage="1" showErrorMessage="1" sqref="S34:S51 A2:A200" xr:uid="{2C2F094F-B4FF-490B-98C8-A485F333FC63}">
      <formula1>$X$2:$X$32</formula1>
    </dataValidation>
    <dataValidation type="list" allowBlank="1" showInputMessage="1" showErrorMessage="1" sqref="J2:J200 V34:V51" xr:uid="{317C7D2D-44F5-45ED-A576-73B9E5038453}">
      <formula1>$Y$2:$Y$11</formula1>
    </dataValidation>
    <dataValidation type="list" allowBlank="1" showInputMessage="1" showErrorMessage="1" sqref="K2:L200" xr:uid="{5C36E5BC-3D95-4A44-BD7E-CF6D094374DD}">
      <formula1>$W$2:$W$3</formula1>
    </dataValidation>
  </dataValidations>
  <pageMargins left="0.7" right="0.7" top="0.75" bottom="0.75" header="0.3" footer="0.3"/>
  <pageSetup scale="2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D00F-3FC3-47F5-BBA1-F4324513BDD9}">
  <sheetPr>
    <pageSetUpPr fitToPage="1"/>
  </sheetPr>
  <dimension ref="A1:BC616"/>
  <sheetViews>
    <sheetView zoomScale="80" zoomScaleNormal="80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26</v>
      </c>
      <c r="B2" s="2" t="s">
        <v>842</v>
      </c>
      <c r="C2" s="133" t="s">
        <v>23</v>
      </c>
      <c r="D2" s="2">
        <v>176209</v>
      </c>
      <c r="E2" s="16" t="s">
        <v>843</v>
      </c>
      <c r="F2" s="2" t="s">
        <v>253</v>
      </c>
      <c r="G2" s="2">
        <v>2</v>
      </c>
      <c r="H2" s="3">
        <v>39</v>
      </c>
      <c r="I2" s="3" t="s">
        <v>34</v>
      </c>
      <c r="J2" s="3" t="s">
        <v>27</v>
      </c>
      <c r="K2" s="4" t="s">
        <v>15</v>
      </c>
      <c r="L2" s="5" t="s">
        <v>16</v>
      </c>
      <c r="M2" s="144"/>
      <c r="N2" s="61" t="s">
        <v>17</v>
      </c>
      <c r="O2" s="62">
        <f>SUMIFS(H2:H200,C2:C200,N2,L2:L200,"Sim")</f>
        <v>0</v>
      </c>
      <c r="P2" s="62">
        <f>O2*0.3</f>
        <v>0</v>
      </c>
      <c r="Q2" s="62">
        <f>SUMIFS(I2:I200,C2:C200,N2,K2:K200,"Sim")</f>
        <v>0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/>
      <c r="B3" s="2"/>
      <c r="C3" s="133"/>
      <c r="D3" s="2"/>
      <c r="E3" s="16"/>
      <c r="F3" s="2"/>
      <c r="G3" s="2"/>
      <c r="H3" s="3"/>
      <c r="I3" s="3"/>
      <c r="J3" s="3"/>
      <c r="K3" s="4"/>
      <c r="L3" s="5"/>
      <c r="M3" s="144"/>
      <c r="N3" s="67" t="s">
        <v>13</v>
      </c>
      <c r="O3" s="68">
        <f>SUMIFS(H2:H200,C2:C200,N3,L2:L200,"Não")</f>
        <v>0</v>
      </c>
      <c r="P3" s="68">
        <f>SUMIFS(I2:I200,C2:C200,N3,L2:L200,"Não")</f>
        <v>0</v>
      </c>
      <c r="Q3" s="68">
        <f>SUMIFS(I2:I200,C2:C200,N3,K2:K200,"Sim")</f>
        <v>0</v>
      </c>
      <c r="R3" s="69">
        <f>SUMIFS(H2:H200,C2:C200,N3,K2:K200,"Sim")-Q3-Q5</f>
        <v>0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/>
      <c r="B4" s="2"/>
      <c r="C4" s="133"/>
      <c r="D4" s="2"/>
      <c r="E4" s="16"/>
      <c r="F4" s="2"/>
      <c r="G4" s="2"/>
      <c r="H4" s="3"/>
      <c r="I4" s="3"/>
      <c r="J4" s="3"/>
      <c r="K4" s="4"/>
      <c r="L4" s="5"/>
      <c r="M4" s="144"/>
      <c r="N4" s="67" t="s">
        <v>22</v>
      </c>
      <c r="O4" s="68">
        <f>SUMIFS(H2:H200,C2:C200,N4,L2:L200,"Não")</f>
        <v>0</v>
      </c>
      <c r="P4" s="68">
        <f>O4*0.25</f>
        <v>0</v>
      </c>
      <c r="Q4" s="68">
        <f>SUMIFS(I2:I199,C2:C199,N4,K2:K199,"Sim")</f>
        <v>0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/>
      <c r="B5" s="2"/>
      <c r="C5" s="133"/>
      <c r="D5" s="2"/>
      <c r="E5" s="16"/>
      <c r="F5" s="2"/>
      <c r="G5" s="2"/>
      <c r="H5" s="3"/>
      <c r="I5" s="3"/>
      <c r="J5" s="3"/>
      <c r="K5" s="4"/>
      <c r="L5" s="5"/>
      <c r="M5" s="144"/>
      <c r="N5" s="67" t="s">
        <v>20</v>
      </c>
      <c r="O5" s="68">
        <f>SUMIFS(H2:H200,C2:C200,N5,L2:L200,"Não")</f>
        <v>0</v>
      </c>
      <c r="P5" s="68">
        <f>SUMIFS(I2:I200,C2:C200,N5,L2:L200,"Não")</f>
        <v>0</v>
      </c>
      <c r="Q5" s="68">
        <f>SUMIFS(I2:I200,C2:C200,N5,K2:K200,"Sim")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/>
      <c r="B6" s="2"/>
      <c r="C6" s="133"/>
      <c r="D6" s="2"/>
      <c r="E6" s="16"/>
      <c r="F6" s="2"/>
      <c r="G6" s="2"/>
      <c r="H6" s="3"/>
      <c r="I6" s="3"/>
      <c r="J6" s="3"/>
      <c r="K6" s="4"/>
      <c r="L6" s="5"/>
      <c r="M6" s="144"/>
      <c r="N6" s="67" t="s">
        <v>23</v>
      </c>
      <c r="O6" s="68">
        <f>SUMIFS(H2:H200,C2:C200,N6,L2:L200,"Não")</f>
        <v>39</v>
      </c>
      <c r="P6" s="68">
        <f>O6*0.15</f>
        <v>5.85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/>
      <c r="B7" s="2"/>
      <c r="C7" s="133"/>
      <c r="D7" s="2"/>
      <c r="E7" s="16"/>
      <c r="F7" s="2"/>
      <c r="G7" s="2"/>
      <c r="H7" s="3"/>
      <c r="I7" s="3"/>
      <c r="J7" s="3"/>
      <c r="K7" s="4"/>
      <c r="L7" s="5"/>
      <c r="M7" s="144"/>
      <c r="N7" s="73" t="s">
        <v>24</v>
      </c>
      <c r="O7" s="74">
        <f>SUMIFS(H2:H200,C2:C200,N7,L2:L200,"Não")</f>
        <v>0</v>
      </c>
      <c r="P7" s="74">
        <f>SUMIFS(I2:I200,C2:C200,N7,L2:L200,"Não")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/>
      <c r="B8" s="2"/>
      <c r="C8" s="133"/>
      <c r="D8" s="2"/>
      <c r="E8" s="16"/>
      <c r="F8" s="2"/>
      <c r="G8" s="2"/>
      <c r="H8" s="3"/>
      <c r="I8" s="3"/>
      <c r="J8" s="3"/>
      <c r="K8" s="4"/>
      <c r="L8" s="5"/>
      <c r="M8" s="144"/>
      <c r="N8" s="77" t="s">
        <v>25</v>
      </c>
      <c r="O8" s="78">
        <f>SUM(O2:O3)</f>
        <v>0</v>
      </c>
      <c r="P8" s="78">
        <f>SUM(P2:P3)</f>
        <v>0</v>
      </c>
      <c r="Q8" s="79"/>
      <c r="R8" s="80">
        <f>SUM(R3+R4)+Nov.25!R7</f>
        <v>898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/>
      <c r="B9" s="17"/>
      <c r="C9" s="133"/>
      <c r="D9" s="2"/>
      <c r="E9" s="16"/>
      <c r="F9" s="2"/>
      <c r="G9" s="2"/>
      <c r="H9" s="3"/>
      <c r="I9" s="3"/>
      <c r="J9" s="3"/>
      <c r="K9" s="4"/>
      <c r="L9" s="5"/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/>
      <c r="B10" s="2"/>
      <c r="C10" s="133"/>
      <c r="D10" s="2"/>
      <c r="E10" s="16"/>
      <c r="F10" s="2"/>
      <c r="G10" s="2"/>
      <c r="H10" s="3"/>
      <c r="I10" s="3"/>
      <c r="J10" s="3"/>
      <c r="K10" s="4"/>
      <c r="L10" s="5"/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/>
      <c r="B11" s="2"/>
      <c r="C11" s="133"/>
      <c r="D11" s="2"/>
      <c r="E11" s="16"/>
      <c r="F11" s="2"/>
      <c r="G11" s="2"/>
      <c r="H11" s="3"/>
      <c r="I11" s="3"/>
      <c r="J11" s="3"/>
      <c r="K11" s="4"/>
      <c r="L11" s="5"/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/>
      <c r="B12" s="2"/>
      <c r="C12" s="133"/>
      <c r="D12" s="165"/>
      <c r="E12" s="16"/>
      <c r="F12" s="2"/>
      <c r="G12" s="2"/>
      <c r="H12" s="3"/>
      <c r="I12" s="3"/>
      <c r="J12" s="3"/>
      <c r="K12" s="4"/>
      <c r="L12" s="5"/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/>
      <c r="B13" s="2"/>
      <c r="C13" s="133"/>
      <c r="D13" s="2"/>
      <c r="E13" s="16"/>
      <c r="F13" s="2"/>
      <c r="G13" s="2"/>
      <c r="H13" s="3"/>
      <c r="I13" s="3"/>
      <c r="J13" s="3"/>
      <c r="K13" s="4"/>
      <c r="L13" s="5"/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/>
      <c r="B14" s="2"/>
      <c r="C14" s="133"/>
      <c r="D14" s="2"/>
      <c r="E14" s="16"/>
      <c r="F14" s="2"/>
      <c r="G14" s="2"/>
      <c r="H14" s="3"/>
      <c r="I14" s="3"/>
      <c r="J14" s="3"/>
      <c r="K14" s="4"/>
      <c r="L14" s="5"/>
      <c r="M14" s="144"/>
      <c r="N14" s="91">
        <v>100</v>
      </c>
      <c r="O14" s="7">
        <v>8</v>
      </c>
      <c r="P14" s="94">
        <f t="shared" si="0"/>
        <v>800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/>
      <c r="B15" s="17"/>
      <c r="C15" s="133"/>
      <c r="D15" s="2"/>
      <c r="E15" s="18"/>
      <c r="F15" s="2"/>
      <c r="G15" s="2"/>
      <c r="H15" s="3"/>
      <c r="I15" s="3"/>
      <c r="J15" s="3"/>
      <c r="K15" s="4"/>
      <c r="L15" s="5"/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/>
      <c r="B16" s="2"/>
      <c r="C16" s="133"/>
      <c r="D16" s="2"/>
      <c r="E16" s="16"/>
      <c r="F16" s="2"/>
      <c r="G16" s="2"/>
      <c r="H16" s="3"/>
      <c r="I16" s="3"/>
      <c r="J16" s="3"/>
      <c r="K16" s="4"/>
      <c r="L16" s="5"/>
      <c r="M16" s="144"/>
      <c r="N16" s="91">
        <v>20</v>
      </c>
      <c r="O16" s="7">
        <v>24</v>
      </c>
      <c r="P16" s="94">
        <f>N16*O16</f>
        <v>480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/>
      <c r="B17" s="2"/>
      <c r="C17" s="133"/>
      <c r="D17" s="2"/>
      <c r="E17" s="16"/>
      <c r="F17" s="2"/>
      <c r="G17" s="2"/>
      <c r="H17" s="3"/>
      <c r="I17" s="3"/>
      <c r="J17" s="3"/>
      <c r="K17" s="4"/>
      <c r="L17" s="5"/>
      <c r="M17" s="144"/>
      <c r="N17" s="91">
        <v>10</v>
      </c>
      <c r="O17" s="7">
        <v>1</v>
      </c>
      <c r="P17" s="94">
        <f t="shared" ref="P17:P18" si="2">N17*O17</f>
        <v>10</v>
      </c>
      <c r="Q17" s="91">
        <v>10</v>
      </c>
      <c r="R17" s="7">
        <v>7</v>
      </c>
      <c r="S17" s="103">
        <f>Q17*R17</f>
        <v>70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/>
      <c r="B18" s="2"/>
      <c r="C18" s="133"/>
      <c r="D18" s="2"/>
      <c r="E18" s="2"/>
      <c r="F18" s="2"/>
      <c r="G18" s="2"/>
      <c r="H18" s="3"/>
      <c r="I18" s="3"/>
      <c r="J18" s="3"/>
      <c r="K18" s="4"/>
      <c r="L18" s="5"/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/>
      <c r="B19" s="2"/>
      <c r="C19" s="133"/>
      <c r="D19" s="2"/>
      <c r="E19" s="18"/>
      <c r="F19" s="2"/>
      <c r="G19" s="2"/>
      <c r="H19" s="3"/>
      <c r="I19" s="3"/>
      <c r="J19" s="3"/>
      <c r="K19" s="4"/>
      <c r="L19" s="5"/>
      <c r="M19" s="144"/>
      <c r="N19" s="308"/>
      <c r="O19" s="309"/>
      <c r="P19" s="99">
        <f>SUM(P12:P18)</f>
        <v>3045</v>
      </c>
      <c r="Q19" s="310"/>
      <c r="R19" s="311"/>
      <c r="S19" s="107">
        <f>SUM(S12:S18)</f>
        <v>75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/>
      <c r="B20" s="2"/>
      <c r="C20" s="133"/>
      <c r="D20" s="2"/>
      <c r="E20" s="20"/>
      <c r="F20" s="2"/>
      <c r="G20" s="2"/>
      <c r="H20" s="3"/>
      <c r="I20" s="3"/>
      <c r="J20" s="3"/>
      <c r="K20" s="4"/>
      <c r="L20" s="5"/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/>
      <c r="B21" s="2"/>
      <c r="C21" s="133"/>
      <c r="D21" s="2"/>
      <c r="E21" s="16"/>
      <c r="F21" s="2"/>
      <c r="G21" s="2"/>
      <c r="H21" s="3"/>
      <c r="I21" s="3"/>
      <c r="J21" s="3"/>
      <c r="K21" s="4"/>
      <c r="L21" s="5"/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/>
      <c r="B22" s="2"/>
      <c r="C22" s="133"/>
      <c r="D22" s="2"/>
      <c r="E22" s="2"/>
      <c r="F22" s="2"/>
      <c r="G22" s="2"/>
      <c r="H22" s="3"/>
      <c r="I22" s="3"/>
      <c r="J22" s="3"/>
      <c r="K22" s="2"/>
      <c r="L22" s="5"/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2</v>
      </c>
      <c r="S22" s="103">
        <f t="shared" ref="S22:S28" si="5">Q22*R22</f>
        <v>2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/>
      <c r="B23" s="2"/>
      <c r="C23" s="133"/>
      <c r="D23" s="2"/>
      <c r="E23" s="16"/>
      <c r="F23" s="2"/>
      <c r="G23" s="2"/>
      <c r="H23" s="3"/>
      <c r="I23" s="3"/>
      <c r="J23" s="3"/>
      <c r="K23" s="4"/>
      <c r="L23" s="5"/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3</v>
      </c>
      <c r="S23" s="103">
        <f t="shared" si="5"/>
        <v>1.5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/>
      <c r="B24" s="2"/>
      <c r="C24" s="133"/>
      <c r="D24" s="2"/>
      <c r="E24" s="18"/>
      <c r="F24" s="2"/>
      <c r="G24" s="2"/>
      <c r="H24" s="3"/>
      <c r="I24" s="3"/>
      <c r="J24" s="3"/>
      <c r="K24" s="4"/>
      <c r="L24" s="5"/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/>
      <c r="B25" s="2"/>
      <c r="C25" s="133"/>
      <c r="D25" s="2"/>
      <c r="E25" s="16"/>
      <c r="F25" s="2"/>
      <c r="G25" s="2"/>
      <c r="H25" s="3"/>
      <c r="I25" s="3"/>
      <c r="J25" s="3"/>
      <c r="K25" s="4"/>
      <c r="L25" s="5"/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/>
      <c r="B26" s="2"/>
      <c r="C26" s="133"/>
      <c r="D26" s="2"/>
      <c r="E26" s="16"/>
      <c r="F26" s="2"/>
      <c r="G26" s="2"/>
      <c r="H26" s="3"/>
      <c r="I26" s="3"/>
      <c r="J26" s="3"/>
      <c r="K26" s="4"/>
      <c r="L26" s="5"/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/>
      <c r="B27" s="2"/>
      <c r="C27" s="133"/>
      <c r="D27" s="2"/>
      <c r="E27" s="16"/>
      <c r="F27" s="2"/>
      <c r="G27" s="2"/>
      <c r="H27" s="3"/>
      <c r="I27" s="3"/>
      <c r="J27" s="3"/>
      <c r="K27" s="4"/>
      <c r="L27" s="5"/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/>
      <c r="B28" s="17"/>
      <c r="C28" s="133"/>
      <c r="D28" s="2"/>
      <c r="E28" s="16"/>
      <c r="F28" s="2"/>
      <c r="G28" s="2"/>
      <c r="H28" s="3"/>
      <c r="I28" s="3"/>
      <c r="J28" s="3"/>
      <c r="K28" s="4"/>
      <c r="L28" s="5"/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/>
      <c r="B29" s="2"/>
      <c r="C29" s="133"/>
      <c r="D29" s="2"/>
      <c r="E29" s="16"/>
      <c r="F29" s="2"/>
      <c r="G29" s="2"/>
      <c r="H29" s="3"/>
      <c r="I29" s="3"/>
      <c r="J29" s="3"/>
      <c r="K29" s="4"/>
      <c r="L29" s="5"/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9.9499999999999993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/>
      <c r="B30" s="2"/>
      <c r="C30" s="133"/>
      <c r="D30" s="2"/>
      <c r="E30" s="16"/>
      <c r="F30" s="2"/>
      <c r="G30" s="2"/>
      <c r="H30" s="3"/>
      <c r="I30" s="3"/>
      <c r="J30" s="3"/>
      <c r="K30" s="4"/>
      <c r="L30" s="5"/>
      <c r="M30" s="144"/>
      <c r="N30" s="271" t="s">
        <v>25</v>
      </c>
      <c r="O30" s="272"/>
      <c r="P30" s="112">
        <f>SUM(P19+P29-R8)</f>
        <v>2147.5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/>
      <c r="B31" s="2"/>
      <c r="C31" s="133"/>
      <c r="D31" s="2"/>
      <c r="E31" s="16"/>
      <c r="F31" s="2"/>
      <c r="G31" s="2"/>
      <c r="H31" s="3"/>
      <c r="I31" s="3"/>
      <c r="J31" s="3"/>
      <c r="K31" s="4"/>
      <c r="L31" s="5"/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/>
      <c r="B32" s="2"/>
      <c r="C32" s="133"/>
      <c r="D32" s="2"/>
      <c r="E32" s="16"/>
      <c r="F32" s="2"/>
      <c r="G32" s="2"/>
      <c r="H32" s="3"/>
      <c r="I32" s="3"/>
      <c r="J32" s="3"/>
      <c r="K32" s="4"/>
      <c r="L32" s="5"/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/>
      <c r="B33" s="2"/>
      <c r="C33" s="133"/>
      <c r="D33" s="2"/>
      <c r="E33" s="16"/>
      <c r="F33" s="2"/>
      <c r="G33" s="2"/>
      <c r="H33" s="3"/>
      <c r="I33" s="3"/>
      <c r="J33" s="3"/>
      <c r="K33" s="4"/>
      <c r="L33" s="5"/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/>
      <c r="B34" s="2"/>
      <c r="C34" s="133"/>
      <c r="D34" s="2"/>
      <c r="E34" s="16"/>
      <c r="F34" s="2"/>
      <c r="G34" s="2"/>
      <c r="H34" s="3"/>
      <c r="I34" s="3"/>
      <c r="J34" s="3"/>
      <c r="K34" s="4"/>
      <c r="L34" s="5"/>
      <c r="M34" s="144"/>
      <c r="N34" s="100">
        <v>500</v>
      </c>
      <c r="O34" s="35">
        <v>0</v>
      </c>
      <c r="P34" s="96">
        <f t="shared" ref="P34" si="6">N34*O34</f>
        <v>0</v>
      </c>
      <c r="Q34" s="38" t="s">
        <v>18</v>
      </c>
      <c r="R34" s="39">
        <v>1.7</v>
      </c>
      <c r="S34" s="84"/>
      <c r="T34" s="85" t="s">
        <v>17</v>
      </c>
      <c r="U34" s="86">
        <f>Q2</f>
        <v>0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/>
      <c r="B35" s="2"/>
      <c r="C35" s="133"/>
      <c r="D35" s="2"/>
      <c r="E35" s="16"/>
      <c r="F35" s="2"/>
      <c r="G35" s="2"/>
      <c r="H35" s="3"/>
      <c r="I35" s="3"/>
      <c r="J35" s="3"/>
      <c r="K35" s="4"/>
      <c r="L35" s="5"/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</f>
        <v>0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/>
      <c r="B36" s="2"/>
      <c r="C36" s="133"/>
      <c r="D36" s="2"/>
      <c r="E36" s="16"/>
      <c r="F36" s="2"/>
      <c r="G36" s="2"/>
      <c r="H36" s="3"/>
      <c r="I36" s="8"/>
      <c r="J36" s="3"/>
      <c r="K36" s="4"/>
      <c r="L36" s="5"/>
      <c r="M36" s="144"/>
      <c r="N36" s="91">
        <v>100</v>
      </c>
      <c r="O36" s="7">
        <v>4</v>
      </c>
      <c r="P36" s="94">
        <f>N36*O36</f>
        <v>400</v>
      </c>
      <c r="Q36" s="28"/>
      <c r="R36" s="25"/>
      <c r="S36" s="87"/>
      <c r="T36" s="88" t="s">
        <v>22</v>
      </c>
      <c r="U36" s="89">
        <f>Q4</f>
        <v>0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/>
      <c r="B37" s="2"/>
      <c r="C37" s="133"/>
      <c r="D37" s="2"/>
      <c r="E37" s="16"/>
      <c r="F37" s="2"/>
      <c r="G37" s="2"/>
      <c r="H37" s="3"/>
      <c r="I37" s="8"/>
      <c r="J37" s="3"/>
      <c r="K37" s="4"/>
      <c r="L37" s="5"/>
      <c r="M37" s="144"/>
      <c r="N37" s="91">
        <v>50</v>
      </c>
      <c r="O37" s="7">
        <v>5</v>
      </c>
      <c r="P37" s="94">
        <f>N37*O37</f>
        <v>250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/>
      <c r="B38" s="2"/>
      <c r="C38" s="133"/>
      <c r="D38" s="2"/>
      <c r="E38" s="2"/>
      <c r="F38" s="2"/>
      <c r="G38" s="2"/>
      <c r="H38" s="3"/>
      <c r="I38" s="3"/>
      <c r="J38" s="3"/>
      <c r="K38" s="4"/>
      <c r="L38" s="5"/>
      <c r="M38" s="144"/>
      <c r="N38" s="91">
        <v>20</v>
      </c>
      <c r="O38" s="7">
        <v>12</v>
      </c>
      <c r="P38" s="94">
        <f>N38*O38</f>
        <v>240</v>
      </c>
      <c r="Q38" s="28"/>
      <c r="R38" s="25"/>
      <c r="S38" s="40"/>
      <c r="T38" s="41"/>
      <c r="U38" s="42"/>
      <c r="V38" s="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/>
      <c r="B39" s="2"/>
      <c r="C39" s="133"/>
      <c r="D39" s="2"/>
      <c r="E39" s="16"/>
      <c r="F39" s="2"/>
      <c r="G39" s="2"/>
      <c r="H39" s="3"/>
      <c r="I39" s="8"/>
      <c r="J39" s="3"/>
      <c r="K39" s="4"/>
      <c r="L39" s="5"/>
      <c r="M39" s="144"/>
      <c r="N39" s="91">
        <v>10</v>
      </c>
      <c r="O39" s="7">
        <v>6</v>
      </c>
      <c r="P39" s="94">
        <f>N39*O39</f>
        <v>60</v>
      </c>
      <c r="Q39" s="28"/>
      <c r="R39" s="25"/>
      <c r="S39" s="40"/>
      <c r="T39" s="41"/>
      <c r="U39" s="42"/>
      <c r="V39" s="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/>
      <c r="B40" s="2"/>
      <c r="C40" s="133"/>
      <c r="D40" s="2"/>
      <c r="E40" s="16"/>
      <c r="F40" s="2"/>
      <c r="G40" s="2"/>
      <c r="H40" s="3"/>
      <c r="I40" s="3"/>
      <c r="J40" s="3"/>
      <c r="K40" s="4"/>
      <c r="L40" s="5"/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/>
      <c r="T40" s="41"/>
      <c r="U40" s="42"/>
      <c r="V40" s="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/>
      <c r="B41" s="2"/>
      <c r="C41" s="133"/>
      <c r="D41" s="2"/>
      <c r="E41" s="16"/>
      <c r="F41" s="2"/>
      <c r="G41" s="2"/>
      <c r="H41" s="3"/>
      <c r="I41" s="3"/>
      <c r="J41" s="3"/>
      <c r="K41" s="4"/>
      <c r="L41" s="5"/>
      <c r="M41" s="144"/>
      <c r="N41" s="279"/>
      <c r="O41" s="280"/>
      <c r="P41" s="119">
        <f>SUM(P34:P40)</f>
        <v>950</v>
      </c>
      <c r="Q41" s="28"/>
      <c r="R41" s="25"/>
      <c r="S41" s="40"/>
      <c r="T41" s="41"/>
      <c r="U41" s="42"/>
      <c r="V41" s="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/>
      <c r="B42" s="2"/>
      <c r="C42" s="133"/>
      <c r="D42" s="2"/>
      <c r="E42" s="18"/>
      <c r="F42" s="2"/>
      <c r="G42" s="2"/>
      <c r="H42" s="3"/>
      <c r="I42" s="8"/>
      <c r="J42" s="3"/>
      <c r="K42" s="4"/>
      <c r="L42" s="5"/>
      <c r="M42" s="144"/>
      <c r="N42" s="281" t="s">
        <v>44</v>
      </c>
      <c r="O42" s="282"/>
      <c r="P42" s="283"/>
      <c r="Q42" s="28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/>
      <c r="B43" s="2"/>
      <c r="C43" s="133"/>
      <c r="D43" s="2"/>
      <c r="E43" s="16"/>
      <c r="F43" s="2"/>
      <c r="G43" s="2"/>
      <c r="H43" s="3"/>
      <c r="I43" s="8"/>
      <c r="J43" s="3"/>
      <c r="K43" s="4"/>
      <c r="L43" s="5"/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/>
      <c r="B44" s="2"/>
      <c r="C44" s="133"/>
      <c r="D44" s="2"/>
      <c r="E44" s="16"/>
      <c r="F44" s="2"/>
      <c r="G44" s="2"/>
      <c r="H44" s="3"/>
      <c r="I44" s="8"/>
      <c r="J44" s="3"/>
      <c r="K44" s="4"/>
      <c r="L44" s="5"/>
      <c r="M44" s="144"/>
      <c r="N44" s="91">
        <v>1</v>
      </c>
      <c r="O44" s="7">
        <v>3</v>
      </c>
      <c r="P44" s="94">
        <f>N44*O44</f>
        <v>3</v>
      </c>
      <c r="Q44" s="29"/>
      <c r="R44" s="25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/>
      <c r="B45" s="2"/>
      <c r="C45" s="133"/>
      <c r="D45" s="2"/>
      <c r="E45" s="18"/>
      <c r="F45" s="2"/>
      <c r="G45" s="2"/>
      <c r="H45" s="3"/>
      <c r="I45" s="8"/>
      <c r="J45" s="3"/>
      <c r="K45" s="4"/>
      <c r="L45" s="5"/>
      <c r="M45" s="144"/>
      <c r="N45" s="91">
        <v>0.5</v>
      </c>
      <c r="O45" s="7">
        <v>0</v>
      </c>
      <c r="P45" s="94">
        <f>N45*O45</f>
        <v>0</v>
      </c>
      <c r="Q45" s="31"/>
      <c r="R45" s="32"/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/>
      <c r="B46" s="2"/>
      <c r="C46" s="133"/>
      <c r="D46" s="2"/>
      <c r="E46" s="16"/>
      <c r="F46" s="2"/>
      <c r="G46" s="2"/>
      <c r="H46" s="3"/>
      <c r="I46" s="8"/>
      <c r="J46" s="3"/>
      <c r="K46" s="4"/>
      <c r="L46" s="5"/>
      <c r="M46" s="144"/>
      <c r="N46" s="91">
        <v>0.2</v>
      </c>
      <c r="O46" s="7">
        <v>1</v>
      </c>
      <c r="P46" s="94">
        <f t="shared" si="8"/>
        <v>0.2</v>
      </c>
      <c r="Q46" s="120" t="s">
        <v>25</v>
      </c>
      <c r="R46" s="119">
        <f>SUM(R34:R45)</f>
        <v>1.7</v>
      </c>
      <c r="S46" s="40"/>
      <c r="T46" s="41"/>
      <c r="U46" s="44"/>
      <c r="V46" s="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/>
      <c r="B47" s="165"/>
      <c r="C47" s="133"/>
      <c r="D47" s="2"/>
      <c r="E47" s="2"/>
      <c r="F47" s="2"/>
      <c r="G47" s="2"/>
      <c r="H47" s="3"/>
      <c r="I47" s="3"/>
      <c r="J47" s="3"/>
      <c r="K47" s="2"/>
      <c r="L47" s="5"/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40"/>
      <c r="T47" s="41"/>
      <c r="U47" s="44"/>
      <c r="V47" s="45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/>
      <c r="B48" s="2"/>
      <c r="C48" s="133"/>
      <c r="D48" s="2"/>
      <c r="E48" s="2"/>
      <c r="F48" s="2"/>
      <c r="G48" s="2"/>
      <c r="H48" s="3"/>
      <c r="I48" s="3"/>
      <c r="J48" s="3"/>
      <c r="K48" s="2"/>
      <c r="L48" s="5"/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20.69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/>
      <c r="B49" s="2"/>
      <c r="C49" s="133"/>
      <c r="D49" s="17"/>
      <c r="E49" s="2"/>
      <c r="F49" s="2"/>
      <c r="G49" s="2"/>
      <c r="H49" s="3"/>
      <c r="I49" s="3"/>
      <c r="J49" s="3"/>
      <c r="K49" s="2"/>
      <c r="L49" s="5"/>
      <c r="M49" s="144"/>
      <c r="N49" s="91">
        <v>0.02</v>
      </c>
      <c r="O49" s="7">
        <v>0</v>
      </c>
      <c r="P49" s="94">
        <f t="shared" si="8"/>
        <v>0</v>
      </c>
      <c r="Q49" s="116" t="s">
        <v>70</v>
      </c>
      <c r="R49" s="122">
        <f>P41+P51+R46</f>
        <v>955.06000000000006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/>
      <c r="B50" s="2"/>
      <c r="C50" s="133"/>
      <c r="D50" s="2"/>
      <c r="E50" s="2"/>
      <c r="F50" s="2"/>
      <c r="G50" s="2"/>
      <c r="H50" s="3"/>
      <c r="I50" s="3"/>
      <c r="J50" s="3"/>
      <c r="K50" s="2"/>
      <c r="L50" s="5"/>
      <c r="M50" s="144"/>
      <c r="N50" s="92">
        <v>0.01</v>
      </c>
      <c r="O50" s="26">
        <v>1</v>
      </c>
      <c r="P50" s="95">
        <f t="shared" si="8"/>
        <v>0.01</v>
      </c>
      <c r="Q50" s="117" t="s">
        <v>59</v>
      </c>
      <c r="R50" s="123">
        <f>R49-R48</f>
        <v>934.37</v>
      </c>
      <c r="S50" s="40"/>
      <c r="T50" s="41"/>
      <c r="U50" s="44"/>
      <c r="V50" s="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/>
      <c r="B51" s="2"/>
      <c r="C51" s="133"/>
      <c r="D51" s="2"/>
      <c r="E51" s="2"/>
      <c r="F51" s="2"/>
      <c r="G51" s="2"/>
      <c r="H51" s="3"/>
      <c r="I51" s="3"/>
      <c r="J51" s="3"/>
      <c r="K51" s="2"/>
      <c r="L51" s="5"/>
      <c r="M51" s="144"/>
      <c r="N51" s="269"/>
      <c r="O51" s="270"/>
      <c r="P51" s="118">
        <f>SUM(P43:P50)</f>
        <v>3.36</v>
      </c>
      <c r="Q51" s="125" t="s">
        <v>60</v>
      </c>
      <c r="R51" s="126">
        <f>R49/9</f>
        <v>106.11777777777779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/>
      <c r="B52" s="2"/>
      <c r="C52" s="133"/>
      <c r="D52" s="2"/>
      <c r="E52" s="2"/>
      <c r="F52" s="2"/>
      <c r="G52" s="2"/>
      <c r="H52" s="3"/>
      <c r="I52" s="8"/>
      <c r="J52" s="3"/>
      <c r="K52" s="4"/>
      <c r="L52" s="5"/>
      <c r="M52" s="144"/>
      <c r="N52" s="143"/>
      <c r="O52" s="143" t="s">
        <v>45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/>
      <c r="B53" s="2"/>
      <c r="C53" s="133"/>
      <c r="D53" s="2"/>
      <c r="E53" s="18"/>
      <c r="F53" s="2"/>
      <c r="G53" s="2"/>
      <c r="H53" s="3"/>
      <c r="I53" s="3"/>
      <c r="J53" s="3"/>
      <c r="K53" s="4"/>
      <c r="L53" s="5"/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/>
      <c r="B54" s="2"/>
      <c r="C54" s="133"/>
      <c r="D54" s="2"/>
      <c r="E54" s="2"/>
      <c r="F54" s="2"/>
      <c r="G54" s="2"/>
      <c r="H54" s="3"/>
      <c r="I54" s="3"/>
      <c r="J54" s="3"/>
      <c r="K54" s="2"/>
      <c r="L54" s="5"/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/>
      <c r="B55" s="2"/>
      <c r="C55" s="133"/>
      <c r="D55" s="2"/>
      <c r="E55" s="2"/>
      <c r="F55" s="2"/>
      <c r="G55" s="2"/>
      <c r="H55" s="3"/>
      <c r="I55" s="3"/>
      <c r="J55" s="3"/>
      <c r="K55" s="2"/>
      <c r="L55" s="5"/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/>
      <c r="B56" s="2"/>
      <c r="C56" s="133"/>
      <c r="D56" s="2"/>
      <c r="E56" s="2"/>
      <c r="F56" s="2"/>
      <c r="G56" s="2"/>
      <c r="H56" s="3"/>
      <c r="I56" s="3"/>
      <c r="J56" s="3"/>
      <c r="K56" s="2"/>
      <c r="L56" s="5"/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/>
      <c r="B57" s="2"/>
      <c r="C57" s="133"/>
      <c r="D57" s="2"/>
      <c r="E57" s="2"/>
      <c r="F57" s="2"/>
      <c r="G57" s="2"/>
      <c r="H57" s="3"/>
      <c r="I57" s="3"/>
      <c r="J57" s="3"/>
      <c r="K57" s="2"/>
      <c r="L57" s="5"/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/>
      <c r="B58" s="2"/>
      <c r="C58" s="133"/>
      <c r="D58" s="2"/>
      <c r="E58" s="16"/>
      <c r="F58" s="2"/>
      <c r="G58" s="2"/>
      <c r="H58" s="3"/>
      <c r="I58" s="3"/>
      <c r="J58" s="3"/>
      <c r="K58" s="2"/>
      <c r="L58" s="5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/>
      <c r="B59" s="2"/>
      <c r="C59" s="133"/>
      <c r="D59" s="2"/>
      <c r="E59" s="16"/>
      <c r="F59" s="2"/>
      <c r="G59" s="2"/>
      <c r="H59" s="3"/>
      <c r="I59" s="8"/>
      <c r="J59" s="3"/>
      <c r="K59" s="4"/>
      <c r="L59" s="5"/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/>
      <c r="B60" s="2"/>
      <c r="C60" s="133"/>
      <c r="D60" s="2"/>
      <c r="E60" s="16"/>
      <c r="F60" s="2"/>
      <c r="G60" s="2"/>
      <c r="H60" s="3"/>
      <c r="I60" s="3"/>
      <c r="J60" s="3"/>
      <c r="K60" s="2"/>
      <c r="L60" s="5"/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/>
      <c r="B61" s="2"/>
      <c r="C61" s="133"/>
      <c r="D61" s="2"/>
      <c r="E61" s="18"/>
      <c r="F61" s="2"/>
      <c r="G61" s="2"/>
      <c r="H61" s="3"/>
      <c r="I61" s="8"/>
      <c r="J61" s="3"/>
      <c r="K61" s="4"/>
      <c r="L61" s="5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/>
      <c r="B62" s="2"/>
      <c r="C62" s="133"/>
      <c r="D62" s="2"/>
      <c r="E62" s="16"/>
      <c r="F62" s="2"/>
      <c r="G62" s="2"/>
      <c r="H62" s="3"/>
      <c r="I62" s="8"/>
      <c r="J62" s="3"/>
      <c r="K62" s="4"/>
      <c r="L62" s="5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6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8"/>
      <c r="F65" s="2"/>
      <c r="G65" s="2"/>
      <c r="H65" s="3"/>
      <c r="I65" s="3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16"/>
      <c r="F66" s="2"/>
      <c r="G66" s="2"/>
      <c r="H66" s="3"/>
      <c r="I66" s="8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9"/>
      <c r="F67" s="2"/>
      <c r="G67" s="2"/>
      <c r="H67" s="3"/>
      <c r="I67" s="3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1"/>
      <c r="F70" s="2"/>
      <c r="G70" s="2"/>
      <c r="H70" s="3"/>
      <c r="I70" s="8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4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"/>
      <c r="F74" s="2"/>
      <c r="G74" s="2"/>
      <c r="H74" s="3"/>
      <c r="I74" s="3"/>
      <c r="J74" s="3"/>
      <c r="K74" s="2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2"/>
      <c r="E75" s="21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165"/>
      <c r="E76" s="22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1"/>
      <c r="F77" s="2"/>
      <c r="G77" s="2"/>
      <c r="H77" s="3"/>
      <c r="I77" s="8"/>
      <c r="J77" s="3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"/>
      <c r="F78" s="2"/>
      <c r="G78" s="2"/>
      <c r="H78" s="3"/>
      <c r="I78" s="3"/>
      <c r="J78" s="2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1"/>
      <c r="F82" s="2"/>
      <c r="G82" s="2"/>
      <c r="H82" s="3"/>
      <c r="I82" s="8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3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2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9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2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2"/>
      <c r="C89" s="133"/>
      <c r="D89" s="2"/>
      <c r="E89" s="9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165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1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3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2"/>
      <c r="F99" s="2"/>
      <c r="G99" s="2"/>
      <c r="H99" s="3"/>
      <c r="I99" s="8"/>
      <c r="J99" s="2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9"/>
      <c r="F100" s="2"/>
      <c r="G100" s="2"/>
      <c r="H100" s="3"/>
      <c r="I100" s="3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8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2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9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3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8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2"/>
      <c r="C129" s="133"/>
      <c r="D129" s="2"/>
      <c r="E129" s="2"/>
      <c r="F129" s="2"/>
      <c r="G129" s="2"/>
      <c r="H129" s="3"/>
      <c r="I129" s="3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10"/>
      <c r="C130" s="133"/>
      <c r="D130" s="10"/>
      <c r="E130" s="10"/>
      <c r="F130" s="10"/>
      <c r="G130" s="10"/>
      <c r="H130" s="8"/>
      <c r="I130" s="8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1"/>
      <c r="B200" s="12"/>
      <c r="C200" s="134"/>
      <c r="D200" s="12"/>
      <c r="E200" s="12"/>
      <c r="F200" s="12"/>
      <c r="G200" s="12"/>
      <c r="H200" s="13"/>
      <c r="I200" s="13"/>
      <c r="J200" s="13"/>
      <c r="K200" s="12"/>
      <c r="L200" s="14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</sheetData>
  <sheetProtection sheet="1" formatCells="0" selectLockedCells="1" sort="0" autoFilter="0" pivotTables="0"/>
  <autoFilter ref="A1:L2" xr:uid="{33F7B5EE-3B25-45C0-9521-5CD77B61364E}"/>
  <mergeCells count="22">
    <mergeCell ref="Q47:R47"/>
    <mergeCell ref="N51:O51"/>
    <mergeCell ref="N30:O30"/>
    <mergeCell ref="N32:R32"/>
    <mergeCell ref="S32:V32"/>
    <mergeCell ref="N33:P33"/>
    <mergeCell ref="N41:O41"/>
    <mergeCell ref="N42:P42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</mergeCells>
  <conditionalFormatting sqref="A2:L200">
    <cfRule type="expression" dxfId="17" priority="3">
      <formula>$C2="Outra"</formula>
    </cfRule>
    <cfRule type="expression" dxfId="16" priority="4">
      <formula>$C2="Website"</formula>
    </cfRule>
    <cfRule type="expression" dxfId="15" priority="5">
      <formula>$C2="CitySightSeeing"</formula>
    </cfRule>
    <cfRule type="expression" dxfId="14" priority="6">
      <formula>$C2="Where To"</formula>
    </cfRule>
  </conditionalFormatting>
  <conditionalFormatting sqref="K2:K200">
    <cfRule type="containsText" dxfId="13" priority="1" operator="containsText" text="Não">
      <formula>NOT(ISERROR(SEARCH("Não",K2)))</formula>
    </cfRule>
    <cfRule type="containsText" dxfId="12" priority="2" operator="containsText" text="Sim">
      <formula>NOT(ISERROR(SEARCH("Sim",K2)))</formula>
    </cfRule>
  </conditionalFormatting>
  <dataValidations count="4">
    <dataValidation type="list" allowBlank="1" showInputMessage="1" showErrorMessage="1" sqref="K2:L200" xr:uid="{369AF104-33D8-427A-ADAA-A3D5C4FFFB8D}">
      <formula1>$W$2:$W$3</formula1>
    </dataValidation>
    <dataValidation type="list" allowBlank="1" showInputMessage="1" showErrorMessage="1" sqref="J2:J200 V34:V51" xr:uid="{7622365B-8B7B-46C0-81A0-25A743BA174C}">
      <formula1>$Y$2:$Y$11</formula1>
    </dataValidation>
    <dataValidation type="list" allowBlank="1" showInputMessage="1" showErrorMessage="1" sqref="S34:S51 A2:A200" xr:uid="{FBF41F8B-FBFC-4B73-AADF-3FFE586B2836}">
      <formula1>$X$2:$X$32</formula1>
    </dataValidation>
    <dataValidation type="list" allowBlank="1" showInputMessage="1" showErrorMessage="1" sqref="C2:C200" xr:uid="{B221C2DF-446C-461C-B0BB-504B9FA40947}">
      <formula1>$N$2:$N$7</formula1>
    </dataValidation>
  </dataValidations>
  <pageMargins left="0.7" right="0.7" top="0.75" bottom="0.75" header="0.3" footer="0.3"/>
  <pageSetup scale="2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4BD0-E4AB-4803-B6D4-FE6391CB921D}">
  <sheetPr>
    <pageSetUpPr fitToPage="1"/>
  </sheetPr>
  <dimension ref="A1:BC616"/>
  <sheetViews>
    <sheetView zoomScale="80" zoomScaleNormal="80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28</v>
      </c>
      <c r="B2" s="2" t="s">
        <v>795</v>
      </c>
      <c r="C2" s="133" t="s">
        <v>23</v>
      </c>
      <c r="D2" s="2" t="s">
        <v>34</v>
      </c>
      <c r="E2" s="16" t="s">
        <v>34</v>
      </c>
      <c r="F2" s="2" t="s">
        <v>796</v>
      </c>
      <c r="G2" s="2">
        <v>2</v>
      </c>
      <c r="H2" s="3">
        <v>39</v>
      </c>
      <c r="I2" s="3" t="s">
        <v>34</v>
      </c>
      <c r="J2" s="3" t="s">
        <v>33</v>
      </c>
      <c r="K2" s="4" t="s">
        <v>16</v>
      </c>
      <c r="L2" s="5" t="s">
        <v>16</v>
      </c>
      <c r="M2" s="144"/>
      <c r="N2" s="61" t="s">
        <v>17</v>
      </c>
      <c r="O2" s="62">
        <f>SUMIFS(H2:H200,C2:C200,N2,L2:L200,"Sim")</f>
        <v>0</v>
      </c>
      <c r="P2" s="62">
        <f>O2*0.3</f>
        <v>0</v>
      </c>
      <c r="Q2" s="62">
        <f>SUMIFS(I2:I200,C2:C200,N2,K2:K200,"Sim")</f>
        <v>0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/>
      <c r="B3" s="2"/>
      <c r="C3" s="133"/>
      <c r="D3" s="2"/>
      <c r="E3" s="16"/>
      <c r="F3" s="2"/>
      <c r="G3" s="2"/>
      <c r="H3" s="3"/>
      <c r="I3" s="3"/>
      <c r="J3" s="3"/>
      <c r="K3" s="4"/>
      <c r="L3" s="5"/>
      <c r="M3" s="144"/>
      <c r="N3" s="67" t="s">
        <v>13</v>
      </c>
      <c r="O3" s="68">
        <f>SUMIFS(H2:H200,C2:C200,N3,L2:L200,"Não")</f>
        <v>0</v>
      </c>
      <c r="P3" s="68">
        <f>SUMIFS(I2:I200,C2:C200,N3,L2:L200,"Não")</f>
        <v>0</v>
      </c>
      <c r="Q3" s="68">
        <f>SUMIFS(I2:I200,C2:C200,N3,K2:K200,"Sim")</f>
        <v>0</v>
      </c>
      <c r="R3" s="69">
        <f>SUMIFS(H2:H200,C2:C200,N3,K2:K200,"Sim")-Q3-Q5</f>
        <v>0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/>
      <c r="B4" s="2"/>
      <c r="C4" s="133"/>
      <c r="D4" s="2"/>
      <c r="E4" s="16"/>
      <c r="F4" s="2"/>
      <c r="G4" s="2"/>
      <c r="H4" s="3"/>
      <c r="I4" s="3"/>
      <c r="J4" s="3"/>
      <c r="K4" s="4"/>
      <c r="L4" s="5"/>
      <c r="M4" s="144"/>
      <c r="N4" s="67" t="s">
        <v>22</v>
      </c>
      <c r="O4" s="68">
        <f>SUMIFS(H2:H200,C2:C200,N4,L2:L200,"Não")</f>
        <v>0</v>
      </c>
      <c r="P4" s="68">
        <f>O4*0.25</f>
        <v>0</v>
      </c>
      <c r="Q4" s="68">
        <f>SUMIFS(I2:I199,C2:C199,N4,K2:K199,"Sim")</f>
        <v>0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/>
      <c r="B5" s="2"/>
      <c r="C5" s="133"/>
      <c r="D5" s="2"/>
      <c r="E5" s="16"/>
      <c r="F5" s="2"/>
      <c r="G5" s="2"/>
      <c r="H5" s="3"/>
      <c r="I5" s="3"/>
      <c r="J5" s="3"/>
      <c r="K5" s="4"/>
      <c r="L5" s="5"/>
      <c r="M5" s="144"/>
      <c r="N5" s="67" t="s">
        <v>20</v>
      </c>
      <c r="O5" s="68">
        <f>SUMIFS(H2:H200,C2:C200,N5,L2:L200,"Não")</f>
        <v>0</v>
      </c>
      <c r="P5" s="68">
        <f>SUMIFS(I2:I200,C2:C200,N5,L2:L200,"Não")</f>
        <v>0</v>
      </c>
      <c r="Q5" s="68">
        <f>SUMIFS(I2:I200,C2:C200,N5,K2:K200,"Sim")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/>
      <c r="B6" s="2"/>
      <c r="C6" s="133"/>
      <c r="D6" s="2"/>
      <c r="E6" s="16"/>
      <c r="F6" s="2"/>
      <c r="G6" s="2"/>
      <c r="H6" s="3"/>
      <c r="I6" s="3"/>
      <c r="J6" s="3"/>
      <c r="K6" s="4"/>
      <c r="L6" s="5"/>
      <c r="M6" s="144"/>
      <c r="N6" s="67" t="s">
        <v>23</v>
      </c>
      <c r="O6" s="68">
        <f>SUMIFS(H2:H200,C2:C200,N6,L2:L200,"Não")</f>
        <v>39</v>
      </c>
      <c r="P6" s="68">
        <f>O6*0.15</f>
        <v>5.85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/>
      <c r="B7" s="2"/>
      <c r="C7" s="133"/>
      <c r="D7" s="2"/>
      <c r="E7" s="16"/>
      <c r="F7" s="2"/>
      <c r="G7" s="2"/>
      <c r="H7" s="3"/>
      <c r="I7" s="3"/>
      <c r="J7" s="3"/>
      <c r="K7" s="4"/>
      <c r="L7" s="5"/>
      <c r="M7" s="144"/>
      <c r="N7" s="73" t="s">
        <v>24</v>
      </c>
      <c r="O7" s="74">
        <f>SUMIFS(H2:H200,C2:C200,N7,L2:L200,"Não")</f>
        <v>0</v>
      </c>
      <c r="P7" s="74">
        <f>SUMIFS(I2:I200,C2:C200,N7,L2:L200,"Não")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/>
      <c r="B8" s="2"/>
      <c r="C8" s="133"/>
      <c r="D8" s="2"/>
      <c r="E8" s="16"/>
      <c r="F8" s="2"/>
      <c r="G8" s="2"/>
      <c r="H8" s="3"/>
      <c r="I8" s="3"/>
      <c r="J8" s="3"/>
      <c r="K8" s="4"/>
      <c r="L8" s="5"/>
      <c r="M8" s="144"/>
      <c r="N8" s="77" t="s">
        <v>25</v>
      </c>
      <c r="O8" s="78">
        <f>SUM(O2:O3)</f>
        <v>0</v>
      </c>
      <c r="P8" s="78">
        <f>SUM(P2:P3)</f>
        <v>0</v>
      </c>
      <c r="Q8" s="79"/>
      <c r="R8" s="80">
        <f>SUM(R3+R4)+Nov.25!R7</f>
        <v>898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/>
      <c r="B9" s="17"/>
      <c r="C9" s="133"/>
      <c r="D9" s="2"/>
      <c r="E9" s="16"/>
      <c r="F9" s="2"/>
      <c r="G9" s="2"/>
      <c r="H9" s="3"/>
      <c r="I9" s="3"/>
      <c r="J9" s="3"/>
      <c r="K9" s="4"/>
      <c r="L9" s="5"/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/>
      <c r="B10" s="2"/>
      <c r="C10" s="133"/>
      <c r="D10" s="2"/>
      <c r="E10" s="16"/>
      <c r="F10" s="2"/>
      <c r="G10" s="2"/>
      <c r="H10" s="3"/>
      <c r="I10" s="3"/>
      <c r="J10" s="3"/>
      <c r="K10" s="4"/>
      <c r="L10" s="5"/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/>
      <c r="B11" s="2"/>
      <c r="C11" s="133"/>
      <c r="D11" s="2"/>
      <c r="E11" s="16"/>
      <c r="F11" s="2"/>
      <c r="G11" s="2"/>
      <c r="H11" s="3"/>
      <c r="I11" s="3"/>
      <c r="J11" s="3"/>
      <c r="K11" s="4"/>
      <c r="L11" s="5"/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/>
      <c r="B12" s="2"/>
      <c r="C12" s="133"/>
      <c r="D12" s="165"/>
      <c r="E12" s="16"/>
      <c r="F12" s="2"/>
      <c r="G12" s="2"/>
      <c r="H12" s="3"/>
      <c r="I12" s="3"/>
      <c r="J12" s="3"/>
      <c r="K12" s="4"/>
      <c r="L12" s="5"/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/>
      <c r="B13" s="2"/>
      <c r="C13" s="133"/>
      <c r="D13" s="2"/>
      <c r="E13" s="16"/>
      <c r="F13" s="2"/>
      <c r="G13" s="2"/>
      <c r="H13" s="3"/>
      <c r="I13" s="3"/>
      <c r="J13" s="3"/>
      <c r="K13" s="4"/>
      <c r="L13" s="5"/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/>
      <c r="B14" s="2"/>
      <c r="C14" s="133"/>
      <c r="D14" s="2"/>
      <c r="E14" s="16"/>
      <c r="F14" s="2"/>
      <c r="G14" s="2"/>
      <c r="H14" s="3"/>
      <c r="I14" s="3"/>
      <c r="J14" s="3"/>
      <c r="K14" s="4"/>
      <c r="L14" s="5"/>
      <c r="M14" s="144"/>
      <c r="N14" s="91">
        <v>100</v>
      </c>
      <c r="O14" s="7">
        <v>8</v>
      </c>
      <c r="P14" s="94">
        <f t="shared" si="0"/>
        <v>800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/>
      <c r="B15" s="17"/>
      <c r="C15" s="133"/>
      <c r="D15" s="2"/>
      <c r="E15" s="18"/>
      <c r="F15" s="2"/>
      <c r="G15" s="2"/>
      <c r="H15" s="3"/>
      <c r="I15" s="3"/>
      <c r="J15" s="3"/>
      <c r="K15" s="4"/>
      <c r="L15" s="5"/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/>
      <c r="B16" s="2"/>
      <c r="C16" s="133"/>
      <c r="D16" s="2"/>
      <c r="E16" s="16"/>
      <c r="F16" s="2"/>
      <c r="G16" s="2"/>
      <c r="H16" s="3"/>
      <c r="I16" s="3"/>
      <c r="J16" s="3"/>
      <c r="K16" s="4"/>
      <c r="L16" s="5"/>
      <c r="M16" s="144"/>
      <c r="N16" s="91">
        <v>20</v>
      </c>
      <c r="O16" s="7">
        <v>24</v>
      </c>
      <c r="P16" s="94">
        <f>N16*O16</f>
        <v>480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/>
      <c r="B17" s="2"/>
      <c r="C17" s="133"/>
      <c r="D17" s="2"/>
      <c r="E17" s="16"/>
      <c r="F17" s="2"/>
      <c r="G17" s="2"/>
      <c r="H17" s="3"/>
      <c r="I17" s="3"/>
      <c r="J17" s="3"/>
      <c r="K17" s="4"/>
      <c r="L17" s="5"/>
      <c r="M17" s="144"/>
      <c r="N17" s="91">
        <v>10</v>
      </c>
      <c r="O17" s="7">
        <v>1</v>
      </c>
      <c r="P17" s="94">
        <f t="shared" ref="P17:P18" si="2">N17*O17</f>
        <v>10</v>
      </c>
      <c r="Q17" s="91">
        <v>10</v>
      </c>
      <c r="R17" s="7">
        <v>7</v>
      </c>
      <c r="S17" s="103">
        <f>Q17*R17</f>
        <v>70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/>
      <c r="B18" s="2"/>
      <c r="C18" s="133"/>
      <c r="D18" s="2"/>
      <c r="E18" s="2"/>
      <c r="F18" s="2"/>
      <c r="G18" s="2"/>
      <c r="H18" s="3"/>
      <c r="I18" s="3"/>
      <c r="J18" s="3"/>
      <c r="K18" s="4"/>
      <c r="L18" s="5"/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/>
      <c r="B19" s="2"/>
      <c r="C19" s="133"/>
      <c r="D19" s="2"/>
      <c r="E19" s="18"/>
      <c r="F19" s="2"/>
      <c r="G19" s="2"/>
      <c r="H19" s="3"/>
      <c r="I19" s="3"/>
      <c r="J19" s="3"/>
      <c r="K19" s="4"/>
      <c r="L19" s="5"/>
      <c r="M19" s="144"/>
      <c r="N19" s="308"/>
      <c r="O19" s="309"/>
      <c r="P19" s="99">
        <f>SUM(P12:P18)</f>
        <v>3045</v>
      </c>
      <c r="Q19" s="310"/>
      <c r="R19" s="311"/>
      <c r="S19" s="107">
        <f>SUM(S12:S18)</f>
        <v>75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/>
      <c r="B20" s="2"/>
      <c r="C20" s="133"/>
      <c r="D20" s="2"/>
      <c r="E20" s="20"/>
      <c r="F20" s="2"/>
      <c r="G20" s="2"/>
      <c r="H20" s="3"/>
      <c r="I20" s="3"/>
      <c r="J20" s="3"/>
      <c r="K20" s="4"/>
      <c r="L20" s="5"/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/>
      <c r="B21" s="2"/>
      <c r="C21" s="133"/>
      <c r="D21" s="2"/>
      <c r="E21" s="16"/>
      <c r="F21" s="2"/>
      <c r="G21" s="2"/>
      <c r="H21" s="3"/>
      <c r="I21" s="3"/>
      <c r="J21" s="3"/>
      <c r="K21" s="4"/>
      <c r="L21" s="5"/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/>
      <c r="B22" s="2"/>
      <c r="C22" s="133"/>
      <c r="D22" s="2"/>
      <c r="E22" s="2"/>
      <c r="F22" s="2"/>
      <c r="G22" s="2"/>
      <c r="H22" s="3"/>
      <c r="I22" s="3"/>
      <c r="J22" s="3"/>
      <c r="K22" s="2"/>
      <c r="L22" s="5"/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2</v>
      </c>
      <c r="S22" s="103">
        <f t="shared" ref="S22:S28" si="5">Q22*R22</f>
        <v>2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/>
      <c r="B23" s="2"/>
      <c r="C23" s="133"/>
      <c r="D23" s="2"/>
      <c r="E23" s="16"/>
      <c r="F23" s="2"/>
      <c r="G23" s="2"/>
      <c r="H23" s="3"/>
      <c r="I23" s="3"/>
      <c r="J23" s="3"/>
      <c r="K23" s="4"/>
      <c r="L23" s="5"/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3</v>
      </c>
      <c r="S23" s="103">
        <f t="shared" si="5"/>
        <v>1.5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/>
      <c r="B24" s="2"/>
      <c r="C24" s="133"/>
      <c r="D24" s="2"/>
      <c r="E24" s="18"/>
      <c r="F24" s="2"/>
      <c r="G24" s="2"/>
      <c r="H24" s="3"/>
      <c r="I24" s="3"/>
      <c r="J24" s="3"/>
      <c r="K24" s="4"/>
      <c r="L24" s="5"/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/>
      <c r="B25" s="2"/>
      <c r="C25" s="133"/>
      <c r="D25" s="2"/>
      <c r="E25" s="16"/>
      <c r="F25" s="2"/>
      <c r="G25" s="2"/>
      <c r="H25" s="3"/>
      <c r="I25" s="3"/>
      <c r="J25" s="3"/>
      <c r="K25" s="4"/>
      <c r="L25" s="5"/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/>
      <c r="B26" s="2"/>
      <c r="C26" s="133"/>
      <c r="D26" s="2"/>
      <c r="E26" s="16"/>
      <c r="F26" s="2"/>
      <c r="G26" s="2"/>
      <c r="H26" s="3"/>
      <c r="I26" s="3"/>
      <c r="J26" s="3"/>
      <c r="K26" s="4"/>
      <c r="L26" s="5"/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/>
      <c r="B27" s="2"/>
      <c r="C27" s="133"/>
      <c r="D27" s="2"/>
      <c r="E27" s="16"/>
      <c r="F27" s="2"/>
      <c r="G27" s="2"/>
      <c r="H27" s="3"/>
      <c r="I27" s="3"/>
      <c r="J27" s="3"/>
      <c r="K27" s="4"/>
      <c r="L27" s="5"/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/>
      <c r="B28" s="17"/>
      <c r="C28" s="133"/>
      <c r="D28" s="2"/>
      <c r="E28" s="16"/>
      <c r="F28" s="2"/>
      <c r="G28" s="2"/>
      <c r="H28" s="3"/>
      <c r="I28" s="3"/>
      <c r="J28" s="3"/>
      <c r="K28" s="4"/>
      <c r="L28" s="5"/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/>
      <c r="B29" s="2"/>
      <c r="C29" s="133"/>
      <c r="D29" s="2"/>
      <c r="E29" s="16"/>
      <c r="F29" s="2"/>
      <c r="G29" s="2"/>
      <c r="H29" s="3"/>
      <c r="I29" s="3"/>
      <c r="J29" s="3"/>
      <c r="K29" s="4"/>
      <c r="L29" s="5"/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9.9499999999999993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/>
      <c r="B30" s="2"/>
      <c r="C30" s="133"/>
      <c r="D30" s="2"/>
      <c r="E30" s="16"/>
      <c r="F30" s="2"/>
      <c r="G30" s="2"/>
      <c r="H30" s="3"/>
      <c r="I30" s="3"/>
      <c r="J30" s="3"/>
      <c r="K30" s="4"/>
      <c r="L30" s="5"/>
      <c r="M30" s="144"/>
      <c r="N30" s="271" t="s">
        <v>25</v>
      </c>
      <c r="O30" s="272"/>
      <c r="P30" s="112">
        <f>SUM(P19+P29-R8)</f>
        <v>2147.5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/>
      <c r="B31" s="2"/>
      <c r="C31" s="133"/>
      <c r="D31" s="2"/>
      <c r="E31" s="16"/>
      <c r="F31" s="2"/>
      <c r="G31" s="2"/>
      <c r="H31" s="3"/>
      <c r="I31" s="3"/>
      <c r="J31" s="3"/>
      <c r="K31" s="4"/>
      <c r="L31" s="5"/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/>
      <c r="B32" s="2"/>
      <c r="C32" s="133"/>
      <c r="D32" s="2"/>
      <c r="E32" s="16"/>
      <c r="F32" s="2"/>
      <c r="G32" s="2"/>
      <c r="H32" s="3"/>
      <c r="I32" s="3"/>
      <c r="J32" s="3"/>
      <c r="K32" s="4"/>
      <c r="L32" s="5"/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/>
      <c r="B33" s="2"/>
      <c r="C33" s="133"/>
      <c r="D33" s="2"/>
      <c r="E33" s="16"/>
      <c r="F33" s="2"/>
      <c r="G33" s="2"/>
      <c r="H33" s="3"/>
      <c r="I33" s="3"/>
      <c r="J33" s="3"/>
      <c r="K33" s="4"/>
      <c r="L33" s="5"/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/>
      <c r="B34" s="2"/>
      <c r="C34" s="133"/>
      <c r="D34" s="2"/>
      <c r="E34" s="16"/>
      <c r="F34" s="2"/>
      <c r="G34" s="2"/>
      <c r="H34" s="3"/>
      <c r="I34" s="3"/>
      <c r="J34" s="3"/>
      <c r="K34" s="4"/>
      <c r="L34" s="5"/>
      <c r="M34" s="144"/>
      <c r="N34" s="100">
        <v>500</v>
      </c>
      <c r="O34" s="35">
        <v>0</v>
      </c>
      <c r="P34" s="96">
        <f t="shared" ref="P34" si="6">N34*O34</f>
        <v>0</v>
      </c>
      <c r="Q34" s="38" t="s">
        <v>18</v>
      </c>
      <c r="R34" s="39">
        <v>1.7</v>
      </c>
      <c r="S34" s="84"/>
      <c r="T34" s="85" t="s">
        <v>17</v>
      </c>
      <c r="U34" s="86">
        <f>Q2</f>
        <v>0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/>
      <c r="B35" s="2"/>
      <c r="C35" s="133"/>
      <c r="D35" s="2"/>
      <c r="E35" s="16"/>
      <c r="F35" s="2"/>
      <c r="G35" s="2"/>
      <c r="H35" s="3"/>
      <c r="I35" s="3"/>
      <c r="J35" s="3"/>
      <c r="K35" s="4"/>
      <c r="L35" s="5"/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</f>
        <v>0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/>
      <c r="B36" s="2"/>
      <c r="C36" s="133"/>
      <c r="D36" s="2"/>
      <c r="E36" s="16"/>
      <c r="F36" s="2"/>
      <c r="G36" s="2"/>
      <c r="H36" s="3"/>
      <c r="I36" s="8"/>
      <c r="J36" s="3"/>
      <c r="K36" s="4"/>
      <c r="L36" s="5"/>
      <c r="M36" s="144"/>
      <c r="N36" s="91">
        <v>100</v>
      </c>
      <c r="O36" s="7">
        <v>4</v>
      </c>
      <c r="P36" s="94">
        <f>N36*O36</f>
        <v>400</v>
      </c>
      <c r="Q36" s="28"/>
      <c r="R36" s="25"/>
      <c r="S36" s="87"/>
      <c r="T36" s="88" t="s">
        <v>22</v>
      </c>
      <c r="U36" s="89">
        <f>Q4</f>
        <v>0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/>
      <c r="B37" s="2"/>
      <c r="C37" s="133"/>
      <c r="D37" s="2"/>
      <c r="E37" s="16"/>
      <c r="F37" s="2"/>
      <c r="G37" s="2"/>
      <c r="H37" s="3"/>
      <c r="I37" s="8"/>
      <c r="J37" s="3"/>
      <c r="K37" s="4"/>
      <c r="L37" s="5"/>
      <c r="M37" s="144"/>
      <c r="N37" s="91">
        <v>50</v>
      </c>
      <c r="O37" s="7">
        <v>5</v>
      </c>
      <c r="P37" s="94">
        <f>N37*O37</f>
        <v>250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/>
      <c r="B38" s="2"/>
      <c r="C38" s="133"/>
      <c r="D38" s="2"/>
      <c r="E38" s="2"/>
      <c r="F38" s="2"/>
      <c r="G38" s="2"/>
      <c r="H38" s="3"/>
      <c r="I38" s="3"/>
      <c r="J38" s="3"/>
      <c r="K38" s="4"/>
      <c r="L38" s="5"/>
      <c r="M38" s="144"/>
      <c r="N38" s="91">
        <v>20</v>
      </c>
      <c r="O38" s="7">
        <v>12</v>
      </c>
      <c r="P38" s="94">
        <f>N38*O38</f>
        <v>240</v>
      </c>
      <c r="Q38" s="28"/>
      <c r="R38" s="25"/>
      <c r="S38" s="40"/>
      <c r="T38" s="41"/>
      <c r="U38" s="42"/>
      <c r="V38" s="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/>
      <c r="B39" s="2"/>
      <c r="C39" s="133"/>
      <c r="D39" s="2"/>
      <c r="E39" s="16"/>
      <c r="F39" s="2"/>
      <c r="G39" s="2"/>
      <c r="H39" s="3"/>
      <c r="I39" s="8"/>
      <c r="J39" s="3"/>
      <c r="K39" s="4"/>
      <c r="L39" s="5"/>
      <c r="M39" s="144"/>
      <c r="N39" s="91">
        <v>10</v>
      </c>
      <c r="O39" s="7">
        <v>6</v>
      </c>
      <c r="P39" s="94">
        <f>N39*O39</f>
        <v>60</v>
      </c>
      <c r="Q39" s="28"/>
      <c r="R39" s="25"/>
      <c r="S39" s="40"/>
      <c r="T39" s="41"/>
      <c r="U39" s="42"/>
      <c r="V39" s="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/>
      <c r="B40" s="2"/>
      <c r="C40" s="133"/>
      <c r="D40" s="2"/>
      <c r="E40" s="16"/>
      <c r="F40" s="2"/>
      <c r="G40" s="2"/>
      <c r="H40" s="3"/>
      <c r="I40" s="3"/>
      <c r="J40" s="3"/>
      <c r="K40" s="4"/>
      <c r="L40" s="5"/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/>
      <c r="T40" s="41"/>
      <c r="U40" s="42"/>
      <c r="V40" s="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/>
      <c r="B41" s="2"/>
      <c r="C41" s="133"/>
      <c r="D41" s="2"/>
      <c r="E41" s="16"/>
      <c r="F41" s="2"/>
      <c r="G41" s="2"/>
      <c r="H41" s="3"/>
      <c r="I41" s="3"/>
      <c r="J41" s="3"/>
      <c r="K41" s="4"/>
      <c r="L41" s="5"/>
      <c r="M41" s="144"/>
      <c r="N41" s="279"/>
      <c r="O41" s="280"/>
      <c r="P41" s="119">
        <f>SUM(P34:P40)</f>
        <v>950</v>
      </c>
      <c r="Q41" s="28"/>
      <c r="R41" s="25"/>
      <c r="S41" s="40"/>
      <c r="T41" s="41"/>
      <c r="U41" s="42"/>
      <c r="V41" s="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/>
      <c r="B42" s="2"/>
      <c r="C42" s="133"/>
      <c r="D42" s="2"/>
      <c r="E42" s="18"/>
      <c r="F42" s="2"/>
      <c r="G42" s="2"/>
      <c r="H42" s="3"/>
      <c r="I42" s="8"/>
      <c r="J42" s="3"/>
      <c r="K42" s="4"/>
      <c r="L42" s="5"/>
      <c r="M42" s="144"/>
      <c r="N42" s="281" t="s">
        <v>44</v>
      </c>
      <c r="O42" s="282"/>
      <c r="P42" s="283"/>
      <c r="Q42" s="28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/>
      <c r="B43" s="2"/>
      <c r="C43" s="133"/>
      <c r="D43" s="2"/>
      <c r="E43" s="16"/>
      <c r="F43" s="2"/>
      <c r="G43" s="2"/>
      <c r="H43" s="3"/>
      <c r="I43" s="8"/>
      <c r="J43" s="3"/>
      <c r="K43" s="4"/>
      <c r="L43" s="5"/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/>
      <c r="B44" s="2"/>
      <c r="C44" s="133"/>
      <c r="D44" s="2"/>
      <c r="E44" s="16"/>
      <c r="F44" s="2"/>
      <c r="G44" s="2"/>
      <c r="H44" s="3"/>
      <c r="I44" s="8"/>
      <c r="J44" s="3"/>
      <c r="K44" s="4"/>
      <c r="L44" s="5"/>
      <c r="M44" s="144"/>
      <c r="N44" s="91">
        <v>1</v>
      </c>
      <c r="O44" s="7">
        <v>3</v>
      </c>
      <c r="P44" s="94">
        <f>N44*O44</f>
        <v>3</v>
      </c>
      <c r="Q44" s="29"/>
      <c r="R44" s="25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/>
      <c r="B45" s="2"/>
      <c r="C45" s="133"/>
      <c r="D45" s="2"/>
      <c r="E45" s="18"/>
      <c r="F45" s="2"/>
      <c r="G45" s="2"/>
      <c r="H45" s="3"/>
      <c r="I45" s="8"/>
      <c r="J45" s="3"/>
      <c r="K45" s="4"/>
      <c r="L45" s="5"/>
      <c r="M45" s="144"/>
      <c r="N45" s="91">
        <v>0.5</v>
      </c>
      <c r="O45" s="7">
        <v>0</v>
      </c>
      <c r="P45" s="94">
        <f>N45*O45</f>
        <v>0</v>
      </c>
      <c r="Q45" s="31"/>
      <c r="R45" s="32"/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/>
      <c r="B46" s="2"/>
      <c r="C46" s="133"/>
      <c r="D46" s="2"/>
      <c r="E46" s="16"/>
      <c r="F46" s="2"/>
      <c r="G46" s="2"/>
      <c r="H46" s="3"/>
      <c r="I46" s="8"/>
      <c r="J46" s="3"/>
      <c r="K46" s="4"/>
      <c r="L46" s="5"/>
      <c r="M46" s="144"/>
      <c r="N46" s="91">
        <v>0.2</v>
      </c>
      <c r="O46" s="7">
        <v>1</v>
      </c>
      <c r="P46" s="94">
        <f t="shared" si="8"/>
        <v>0.2</v>
      </c>
      <c r="Q46" s="120" t="s">
        <v>25</v>
      </c>
      <c r="R46" s="119">
        <f>SUM(R34:R45)</f>
        <v>1.7</v>
      </c>
      <c r="S46" s="40"/>
      <c r="T46" s="41"/>
      <c r="U46" s="44"/>
      <c r="V46" s="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/>
      <c r="B47" s="165"/>
      <c r="C47" s="133"/>
      <c r="D47" s="2"/>
      <c r="E47" s="2"/>
      <c r="F47" s="2"/>
      <c r="G47" s="2"/>
      <c r="H47" s="3"/>
      <c r="I47" s="3"/>
      <c r="J47" s="3"/>
      <c r="K47" s="2"/>
      <c r="L47" s="5"/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40"/>
      <c r="T47" s="41"/>
      <c r="U47" s="44"/>
      <c r="V47" s="45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/>
      <c r="B48" s="2"/>
      <c r="C48" s="133"/>
      <c r="D48" s="2"/>
      <c r="E48" s="2"/>
      <c r="F48" s="2"/>
      <c r="G48" s="2"/>
      <c r="H48" s="3"/>
      <c r="I48" s="3"/>
      <c r="J48" s="3"/>
      <c r="K48" s="2"/>
      <c r="L48" s="5"/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20.69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/>
      <c r="B49" s="2"/>
      <c r="C49" s="133"/>
      <c r="D49" s="17"/>
      <c r="E49" s="2"/>
      <c r="F49" s="2"/>
      <c r="G49" s="2"/>
      <c r="H49" s="3"/>
      <c r="I49" s="3"/>
      <c r="J49" s="3"/>
      <c r="K49" s="2"/>
      <c r="L49" s="5"/>
      <c r="M49" s="144"/>
      <c r="N49" s="91">
        <v>0.02</v>
      </c>
      <c r="O49" s="7">
        <v>0</v>
      </c>
      <c r="P49" s="94">
        <f t="shared" si="8"/>
        <v>0</v>
      </c>
      <c r="Q49" s="116" t="s">
        <v>70</v>
      </c>
      <c r="R49" s="122">
        <f>P41+P51+R46</f>
        <v>955.06000000000006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/>
      <c r="B50" s="2"/>
      <c r="C50" s="133"/>
      <c r="D50" s="2"/>
      <c r="E50" s="2"/>
      <c r="F50" s="2"/>
      <c r="G50" s="2"/>
      <c r="H50" s="3"/>
      <c r="I50" s="3"/>
      <c r="J50" s="3"/>
      <c r="K50" s="2"/>
      <c r="L50" s="5"/>
      <c r="M50" s="144"/>
      <c r="N50" s="92">
        <v>0.01</v>
      </c>
      <c r="O50" s="26">
        <v>1</v>
      </c>
      <c r="P50" s="95">
        <f t="shared" si="8"/>
        <v>0.01</v>
      </c>
      <c r="Q50" s="117" t="s">
        <v>59</v>
      </c>
      <c r="R50" s="123">
        <f>R49-R48</f>
        <v>934.37</v>
      </c>
      <c r="S50" s="40"/>
      <c r="T50" s="41"/>
      <c r="U50" s="44"/>
      <c r="V50" s="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/>
      <c r="B51" s="2"/>
      <c r="C51" s="133"/>
      <c r="D51" s="2"/>
      <c r="E51" s="2"/>
      <c r="F51" s="2"/>
      <c r="G51" s="2"/>
      <c r="H51" s="3"/>
      <c r="I51" s="3"/>
      <c r="J51" s="3"/>
      <c r="K51" s="2"/>
      <c r="L51" s="5"/>
      <c r="M51" s="144"/>
      <c r="N51" s="269"/>
      <c r="O51" s="270"/>
      <c r="P51" s="118">
        <f>SUM(P43:P50)</f>
        <v>3.36</v>
      </c>
      <c r="Q51" s="125" t="s">
        <v>60</v>
      </c>
      <c r="R51" s="126">
        <f>R49/9</f>
        <v>106.11777777777779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/>
      <c r="B52" s="2"/>
      <c r="C52" s="133"/>
      <c r="D52" s="2"/>
      <c r="E52" s="2"/>
      <c r="F52" s="2"/>
      <c r="G52" s="2"/>
      <c r="H52" s="3"/>
      <c r="I52" s="8"/>
      <c r="J52" s="3"/>
      <c r="K52" s="4"/>
      <c r="L52" s="5"/>
      <c r="M52" s="144"/>
      <c r="N52" s="143"/>
      <c r="O52" s="143" t="s">
        <v>45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/>
      <c r="B53" s="2"/>
      <c r="C53" s="133"/>
      <c r="D53" s="2"/>
      <c r="E53" s="18"/>
      <c r="F53" s="2"/>
      <c r="G53" s="2"/>
      <c r="H53" s="3"/>
      <c r="I53" s="3"/>
      <c r="J53" s="3"/>
      <c r="K53" s="4"/>
      <c r="L53" s="5"/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/>
      <c r="B54" s="2"/>
      <c r="C54" s="133"/>
      <c r="D54" s="2"/>
      <c r="E54" s="2"/>
      <c r="F54" s="2"/>
      <c r="G54" s="2"/>
      <c r="H54" s="3"/>
      <c r="I54" s="3"/>
      <c r="J54" s="3"/>
      <c r="K54" s="2"/>
      <c r="L54" s="5"/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/>
      <c r="B55" s="2"/>
      <c r="C55" s="133"/>
      <c r="D55" s="2"/>
      <c r="E55" s="2"/>
      <c r="F55" s="2"/>
      <c r="G55" s="2"/>
      <c r="H55" s="3"/>
      <c r="I55" s="3"/>
      <c r="J55" s="3"/>
      <c r="K55" s="2"/>
      <c r="L55" s="5"/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/>
      <c r="B56" s="2"/>
      <c r="C56" s="133"/>
      <c r="D56" s="2"/>
      <c r="E56" s="2"/>
      <c r="F56" s="2"/>
      <c r="G56" s="2"/>
      <c r="H56" s="3"/>
      <c r="I56" s="3"/>
      <c r="J56" s="3"/>
      <c r="K56" s="2"/>
      <c r="L56" s="5"/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/>
      <c r="B57" s="2"/>
      <c r="C57" s="133"/>
      <c r="D57" s="2"/>
      <c r="E57" s="2"/>
      <c r="F57" s="2"/>
      <c r="G57" s="2"/>
      <c r="H57" s="3"/>
      <c r="I57" s="3"/>
      <c r="J57" s="3"/>
      <c r="K57" s="2"/>
      <c r="L57" s="5"/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/>
      <c r="B58" s="2"/>
      <c r="C58" s="133"/>
      <c r="D58" s="2"/>
      <c r="E58" s="16"/>
      <c r="F58" s="2"/>
      <c r="G58" s="2"/>
      <c r="H58" s="3"/>
      <c r="I58" s="3"/>
      <c r="J58" s="3"/>
      <c r="K58" s="2"/>
      <c r="L58" s="5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/>
      <c r="B59" s="2"/>
      <c r="C59" s="133"/>
      <c r="D59" s="2"/>
      <c r="E59" s="16"/>
      <c r="F59" s="2"/>
      <c r="G59" s="2"/>
      <c r="H59" s="3"/>
      <c r="I59" s="8"/>
      <c r="J59" s="3"/>
      <c r="K59" s="4"/>
      <c r="L59" s="5"/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/>
      <c r="B60" s="2"/>
      <c r="C60" s="133"/>
      <c r="D60" s="2"/>
      <c r="E60" s="16"/>
      <c r="F60" s="2"/>
      <c r="G60" s="2"/>
      <c r="H60" s="3"/>
      <c r="I60" s="3"/>
      <c r="J60" s="3"/>
      <c r="K60" s="2"/>
      <c r="L60" s="5"/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/>
      <c r="B61" s="2"/>
      <c r="C61" s="133"/>
      <c r="D61" s="2"/>
      <c r="E61" s="18"/>
      <c r="F61" s="2"/>
      <c r="G61" s="2"/>
      <c r="H61" s="3"/>
      <c r="I61" s="8"/>
      <c r="J61" s="3"/>
      <c r="K61" s="4"/>
      <c r="L61" s="5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/>
      <c r="B62" s="2"/>
      <c r="C62" s="133"/>
      <c r="D62" s="2"/>
      <c r="E62" s="16"/>
      <c r="F62" s="2"/>
      <c r="G62" s="2"/>
      <c r="H62" s="3"/>
      <c r="I62" s="8"/>
      <c r="J62" s="3"/>
      <c r="K62" s="4"/>
      <c r="L62" s="5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6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8"/>
      <c r="F65" s="2"/>
      <c r="G65" s="2"/>
      <c r="H65" s="3"/>
      <c r="I65" s="3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16"/>
      <c r="F66" s="2"/>
      <c r="G66" s="2"/>
      <c r="H66" s="3"/>
      <c r="I66" s="8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9"/>
      <c r="F67" s="2"/>
      <c r="G67" s="2"/>
      <c r="H67" s="3"/>
      <c r="I67" s="3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1"/>
      <c r="F70" s="2"/>
      <c r="G70" s="2"/>
      <c r="H70" s="3"/>
      <c r="I70" s="8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4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"/>
      <c r="F74" s="2"/>
      <c r="G74" s="2"/>
      <c r="H74" s="3"/>
      <c r="I74" s="3"/>
      <c r="J74" s="3"/>
      <c r="K74" s="2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2"/>
      <c r="E75" s="21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165"/>
      <c r="E76" s="22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1"/>
      <c r="F77" s="2"/>
      <c r="G77" s="2"/>
      <c r="H77" s="3"/>
      <c r="I77" s="8"/>
      <c r="J77" s="3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"/>
      <c r="F78" s="2"/>
      <c r="G78" s="2"/>
      <c r="H78" s="3"/>
      <c r="I78" s="3"/>
      <c r="J78" s="2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1"/>
      <c r="F82" s="2"/>
      <c r="G82" s="2"/>
      <c r="H82" s="3"/>
      <c r="I82" s="8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3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2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9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2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2"/>
      <c r="C89" s="133"/>
      <c r="D89" s="2"/>
      <c r="E89" s="9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165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1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3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2"/>
      <c r="F99" s="2"/>
      <c r="G99" s="2"/>
      <c r="H99" s="3"/>
      <c r="I99" s="8"/>
      <c r="J99" s="2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9"/>
      <c r="F100" s="2"/>
      <c r="G100" s="2"/>
      <c r="H100" s="3"/>
      <c r="I100" s="3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8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2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9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3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8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2"/>
      <c r="C129" s="133"/>
      <c r="D129" s="2"/>
      <c r="E129" s="2"/>
      <c r="F129" s="2"/>
      <c r="G129" s="2"/>
      <c r="H129" s="3"/>
      <c r="I129" s="3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10"/>
      <c r="C130" s="133"/>
      <c r="D130" s="10"/>
      <c r="E130" s="10"/>
      <c r="F130" s="10"/>
      <c r="G130" s="10"/>
      <c r="H130" s="8"/>
      <c r="I130" s="8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1"/>
      <c r="B200" s="12"/>
      <c r="C200" s="134"/>
      <c r="D200" s="12"/>
      <c r="E200" s="12"/>
      <c r="F200" s="12"/>
      <c r="G200" s="12"/>
      <c r="H200" s="13"/>
      <c r="I200" s="13"/>
      <c r="J200" s="13"/>
      <c r="K200" s="12"/>
      <c r="L200" s="14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</sheetData>
  <sheetProtection sheet="1" formatCells="0" selectLockedCells="1" sort="0" autoFilter="0" pivotTables="0"/>
  <autoFilter ref="A1:L2" xr:uid="{33F7B5EE-3B25-45C0-9521-5CD77B61364E}"/>
  <mergeCells count="22">
    <mergeCell ref="Q47:R47"/>
    <mergeCell ref="N51:O51"/>
    <mergeCell ref="N30:O30"/>
    <mergeCell ref="N32:R32"/>
    <mergeCell ref="S32:V32"/>
    <mergeCell ref="N33:P33"/>
    <mergeCell ref="N41:O41"/>
    <mergeCell ref="N42:P42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</mergeCells>
  <conditionalFormatting sqref="A2:L200">
    <cfRule type="expression" dxfId="11" priority="3">
      <formula>$C2="Outra"</formula>
    </cfRule>
    <cfRule type="expression" dxfId="10" priority="4">
      <formula>$C2="Website"</formula>
    </cfRule>
    <cfRule type="expression" dxfId="9" priority="5">
      <formula>$C2="CitySightSeeing"</formula>
    </cfRule>
    <cfRule type="expression" dxfId="8" priority="6">
      <formula>$C2="Where To"</formula>
    </cfRule>
  </conditionalFormatting>
  <conditionalFormatting sqref="K2:K200">
    <cfRule type="containsText" dxfId="7" priority="1" operator="containsText" text="Não">
      <formula>NOT(ISERROR(SEARCH("Não",K2)))</formula>
    </cfRule>
    <cfRule type="containsText" dxfId="6" priority="2" operator="containsText" text="Sim">
      <formula>NOT(ISERROR(SEARCH("Sim",K2)))</formula>
    </cfRule>
  </conditionalFormatting>
  <dataValidations count="4">
    <dataValidation type="list" allowBlank="1" showInputMessage="1" showErrorMessage="1" sqref="C2:C200" xr:uid="{1BBE4876-ED0E-4806-A7D3-70209C81CAFD}">
      <formula1>$N$2:$N$7</formula1>
    </dataValidation>
    <dataValidation type="list" allowBlank="1" showInputMessage="1" showErrorMessage="1" sqref="S34:S51 A2:A200" xr:uid="{C6FD3246-08A9-456C-B37A-4B8EF9B1A365}">
      <formula1>$X$2:$X$32</formula1>
    </dataValidation>
    <dataValidation type="list" allowBlank="1" showInputMessage="1" showErrorMessage="1" sqref="J2:J200 V34:V51" xr:uid="{38812015-53F1-4C34-9B82-3133F3A29389}">
      <formula1>$Y$2:$Y$11</formula1>
    </dataValidation>
    <dataValidation type="list" allowBlank="1" showInputMessage="1" showErrorMessage="1" sqref="K2:L200" xr:uid="{098874E9-DD3B-435D-A579-ABB14E659D63}">
      <formula1>$W$2:$W$3</formula1>
    </dataValidation>
  </dataValidations>
  <pageMargins left="0.7" right="0.7" top="0.75" bottom="0.75" header="0.3" footer="0.3"/>
  <pageSetup scale="2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2079-0241-4902-8D58-B7E2D14F019A}">
  <sheetPr>
    <pageSetUpPr fitToPage="1"/>
  </sheetPr>
  <dimension ref="A1:BC616"/>
  <sheetViews>
    <sheetView zoomScale="80" zoomScaleNormal="80" workbookViewId="0">
      <pane ySplit="1" topLeftCell="A2" activePane="bottomLeft" state="frozen"/>
      <selection activeCell="F36" sqref="F36"/>
      <selection pane="bottomLeft" activeCell="F36" sqref="F36"/>
    </sheetView>
  </sheetViews>
  <sheetFormatPr defaultRowHeight="15" x14ac:dyDescent="0.25"/>
  <cols>
    <col min="1" max="1" width="10.5703125" customWidth="1"/>
    <col min="2" max="2" width="30.5703125" customWidth="1"/>
    <col min="3" max="3" width="15.5703125" customWidth="1"/>
    <col min="4" max="4" width="15.5703125" style="15" customWidth="1"/>
    <col min="5" max="5" width="10.5703125" customWidth="1"/>
    <col min="6" max="6" width="40.5703125" customWidth="1"/>
    <col min="7" max="8" width="10.5703125" customWidth="1"/>
    <col min="9" max="12" width="15.5703125" customWidth="1"/>
    <col min="13" max="13" width="0.42578125" customWidth="1"/>
    <col min="14" max="22" width="15.5703125" customWidth="1"/>
    <col min="23" max="25" width="12.5703125" hidden="1" customWidth="1"/>
  </cols>
  <sheetData>
    <row r="1" spans="1:55" ht="15" customHeight="1" thickBot="1" x14ac:dyDescent="0.3">
      <c r="A1" s="52" t="s">
        <v>0</v>
      </c>
      <c r="B1" s="53" t="s">
        <v>56</v>
      </c>
      <c r="C1" s="54" t="s">
        <v>1</v>
      </c>
      <c r="D1" s="53" t="s">
        <v>55</v>
      </c>
      <c r="E1" s="54" t="s">
        <v>2</v>
      </c>
      <c r="F1" s="54" t="s">
        <v>74</v>
      </c>
      <c r="G1" s="54" t="s">
        <v>3</v>
      </c>
      <c r="H1" s="54" t="s">
        <v>4</v>
      </c>
      <c r="I1" s="54" t="s">
        <v>5</v>
      </c>
      <c r="J1" s="54" t="s">
        <v>6</v>
      </c>
      <c r="K1" s="55" t="s">
        <v>7</v>
      </c>
      <c r="L1" s="56" t="s">
        <v>8</v>
      </c>
      <c r="M1" s="23"/>
      <c r="N1" s="57" t="s">
        <v>9</v>
      </c>
      <c r="O1" s="58" t="s">
        <v>10</v>
      </c>
      <c r="P1" s="58" t="s">
        <v>5</v>
      </c>
      <c r="Q1" s="59" t="s">
        <v>11</v>
      </c>
      <c r="R1" s="60" t="s">
        <v>12</v>
      </c>
      <c r="S1" s="294" t="s">
        <v>57</v>
      </c>
      <c r="T1" s="295"/>
      <c r="U1" s="295"/>
      <c r="V1" s="296"/>
      <c r="W1" s="154" t="s">
        <v>8</v>
      </c>
      <c r="X1" s="155" t="s">
        <v>0</v>
      </c>
      <c r="Y1" s="155" t="s">
        <v>6</v>
      </c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</row>
    <row r="2" spans="1:55" ht="15" customHeight="1" x14ac:dyDescent="0.25">
      <c r="A2" s="1">
        <v>18</v>
      </c>
      <c r="B2" s="2" t="s">
        <v>477</v>
      </c>
      <c r="C2" s="133" t="s">
        <v>23</v>
      </c>
      <c r="D2" s="2">
        <v>174135</v>
      </c>
      <c r="E2" s="16" t="s">
        <v>478</v>
      </c>
      <c r="F2" s="2" t="s">
        <v>498</v>
      </c>
      <c r="G2" s="2">
        <v>2</v>
      </c>
      <c r="H2" s="3">
        <v>39</v>
      </c>
      <c r="I2" s="3" t="s">
        <v>34</v>
      </c>
      <c r="J2" s="3" t="s">
        <v>14</v>
      </c>
      <c r="K2" s="4" t="s">
        <v>16</v>
      </c>
      <c r="L2" s="5" t="s">
        <v>16</v>
      </c>
      <c r="M2" s="144"/>
      <c r="N2" s="61" t="s">
        <v>17</v>
      </c>
      <c r="O2" s="62">
        <f>SUMIFS(H2:H200,C2:C200,N2,L2:L200,"Sim")</f>
        <v>0</v>
      </c>
      <c r="P2" s="62">
        <f>O2*0.3</f>
        <v>0</v>
      </c>
      <c r="Q2" s="62">
        <f>SUMIFS(I2:I200,C2:C200,N2,K2:K200,"Sim")</f>
        <v>0</v>
      </c>
      <c r="R2" s="132"/>
      <c r="S2" s="64" t="s">
        <v>46</v>
      </c>
      <c r="T2" s="65" t="s">
        <v>4</v>
      </c>
      <c r="U2" s="65" t="s">
        <v>5</v>
      </c>
      <c r="V2" s="66" t="s">
        <v>28</v>
      </c>
      <c r="W2" s="156" t="s">
        <v>15</v>
      </c>
      <c r="X2" s="157">
        <v>1</v>
      </c>
      <c r="Y2" s="158" t="s">
        <v>18</v>
      </c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</row>
    <row r="3" spans="1:55" ht="15" customHeight="1" thickBot="1" x14ac:dyDescent="0.3">
      <c r="A3" s="1">
        <v>28</v>
      </c>
      <c r="B3" s="2" t="s">
        <v>795</v>
      </c>
      <c r="C3" s="133" t="s">
        <v>23</v>
      </c>
      <c r="D3" s="2" t="s">
        <v>34</v>
      </c>
      <c r="E3" s="16" t="s">
        <v>34</v>
      </c>
      <c r="F3" s="2" t="s">
        <v>797</v>
      </c>
      <c r="G3" s="2">
        <v>2</v>
      </c>
      <c r="H3" s="3">
        <v>22</v>
      </c>
      <c r="I3" s="3" t="s">
        <v>34</v>
      </c>
      <c r="J3" s="3" t="s">
        <v>33</v>
      </c>
      <c r="K3" s="4" t="s">
        <v>16</v>
      </c>
      <c r="L3" s="5" t="s">
        <v>16</v>
      </c>
      <c r="M3" s="144"/>
      <c r="N3" s="67" t="s">
        <v>13</v>
      </c>
      <c r="O3" s="68">
        <f>SUMIFS(H2:H200,C2:C200,N3,L2:L200,"Não")</f>
        <v>0</v>
      </c>
      <c r="P3" s="68">
        <f>SUMIFS(I2:I200,C2:C200,N3,L2:L200,"Não")</f>
        <v>0</v>
      </c>
      <c r="Q3" s="68">
        <f>SUMIFS(I2:I200,C2:C200,N3,K2:K200,"Sim")</f>
        <v>0</v>
      </c>
      <c r="R3" s="69">
        <f>SUMIFS(H2:H200,C2:C200,N3,K2:K200,"Sim")-Q3-Q5</f>
        <v>0</v>
      </c>
      <c r="S3" s="70" t="s">
        <v>29</v>
      </c>
      <c r="T3" s="71">
        <v>25</v>
      </c>
      <c r="U3" s="71">
        <v>8</v>
      </c>
      <c r="V3" s="72" t="s">
        <v>30</v>
      </c>
      <c r="W3" s="159" t="s">
        <v>16</v>
      </c>
      <c r="X3" s="160">
        <v>2</v>
      </c>
      <c r="Y3" s="160" t="s">
        <v>19</v>
      </c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</row>
    <row r="4" spans="1:55" ht="15" customHeight="1" thickBot="1" x14ac:dyDescent="0.3">
      <c r="A4" s="1"/>
      <c r="B4" s="2"/>
      <c r="C4" s="133"/>
      <c r="D4" s="2"/>
      <c r="E4" s="16"/>
      <c r="F4" s="2"/>
      <c r="G4" s="2"/>
      <c r="H4" s="3"/>
      <c r="I4" s="3"/>
      <c r="J4" s="3"/>
      <c r="K4" s="4"/>
      <c r="L4" s="5"/>
      <c r="M4" s="144"/>
      <c r="N4" s="67" t="s">
        <v>22</v>
      </c>
      <c r="O4" s="68">
        <f>SUMIFS(H2:H200,C2:C200,N4,L2:L200,"Não")</f>
        <v>0</v>
      </c>
      <c r="P4" s="68">
        <f>O4*0.25</f>
        <v>0</v>
      </c>
      <c r="Q4" s="68">
        <f>SUMIFS(I2:I199,C2:C199,N4,K2:K199,"Sim")</f>
        <v>0</v>
      </c>
      <c r="R4" s="69">
        <f>O4-P4</f>
        <v>0</v>
      </c>
      <c r="S4" s="70" t="s">
        <v>31</v>
      </c>
      <c r="T4" s="71">
        <v>35</v>
      </c>
      <c r="U4" s="71">
        <v>10</v>
      </c>
      <c r="V4" s="72" t="s">
        <v>32</v>
      </c>
      <c r="W4" s="154" t="s">
        <v>48</v>
      </c>
      <c r="X4" s="160">
        <v>3</v>
      </c>
      <c r="Y4" s="161" t="s">
        <v>26</v>
      </c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</row>
    <row r="5" spans="1:55" ht="15" customHeight="1" x14ac:dyDescent="0.25">
      <c r="A5" s="1"/>
      <c r="B5" s="2"/>
      <c r="C5" s="133"/>
      <c r="D5" s="2"/>
      <c r="E5" s="16"/>
      <c r="F5" s="2"/>
      <c r="G5" s="2"/>
      <c r="H5" s="3"/>
      <c r="I5" s="3"/>
      <c r="J5" s="3"/>
      <c r="K5" s="4"/>
      <c r="L5" s="5"/>
      <c r="M5" s="144"/>
      <c r="N5" s="67" t="s">
        <v>20</v>
      </c>
      <c r="O5" s="68">
        <f>SUMIFS(H2:H200,C2:C200,N5,L2:L200,"Não")</f>
        <v>0</v>
      </c>
      <c r="P5" s="68">
        <f>SUMIFS(I2:I200,C2:C200,N5,L2:L200,"Não")</f>
        <v>0</v>
      </c>
      <c r="Q5" s="68">
        <f>SUMIFS(I2:I200,C2:C200,N5,K2:K200,"Sim")</f>
        <v>0</v>
      </c>
      <c r="R5" s="131"/>
      <c r="S5" s="70" t="s">
        <v>31</v>
      </c>
      <c r="T5" s="71">
        <v>40</v>
      </c>
      <c r="U5" s="71">
        <v>12</v>
      </c>
      <c r="V5" s="72" t="s">
        <v>35</v>
      </c>
      <c r="W5" s="156" t="s">
        <v>49</v>
      </c>
      <c r="X5" s="160">
        <v>4</v>
      </c>
      <c r="Y5" s="161" t="s">
        <v>27</v>
      </c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</row>
    <row r="6" spans="1:55" ht="15" customHeight="1" x14ac:dyDescent="0.25">
      <c r="A6" s="1"/>
      <c r="B6" s="2"/>
      <c r="C6" s="133"/>
      <c r="D6" s="2"/>
      <c r="E6" s="16"/>
      <c r="F6" s="2"/>
      <c r="G6" s="2"/>
      <c r="H6" s="3"/>
      <c r="I6" s="3"/>
      <c r="J6" s="3"/>
      <c r="K6" s="4"/>
      <c r="L6" s="5"/>
      <c r="M6" s="144"/>
      <c r="N6" s="67" t="s">
        <v>23</v>
      </c>
      <c r="O6" s="68">
        <f>SUMIFS(H2:H200,C2:C200,N6,L2:L200,"Não")</f>
        <v>61</v>
      </c>
      <c r="P6" s="68">
        <f>O6*0.15</f>
        <v>9.15</v>
      </c>
      <c r="Q6" s="127"/>
      <c r="R6" s="128"/>
      <c r="S6" s="70" t="s">
        <v>37</v>
      </c>
      <c r="T6" s="71">
        <v>55</v>
      </c>
      <c r="U6" s="71">
        <v>15</v>
      </c>
      <c r="V6" s="72" t="s">
        <v>38</v>
      </c>
      <c r="W6" s="156" t="s">
        <v>47</v>
      </c>
      <c r="X6" s="160">
        <v>5</v>
      </c>
      <c r="Y6" s="161" t="s">
        <v>14</v>
      </c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</row>
    <row r="7" spans="1:55" ht="15" customHeight="1" thickBot="1" x14ac:dyDescent="0.3">
      <c r="A7" s="1"/>
      <c r="B7" s="2"/>
      <c r="C7" s="133"/>
      <c r="D7" s="2"/>
      <c r="E7" s="16"/>
      <c r="F7" s="2"/>
      <c r="G7" s="2"/>
      <c r="H7" s="3"/>
      <c r="I7" s="3"/>
      <c r="J7" s="3"/>
      <c r="K7" s="4"/>
      <c r="L7" s="5"/>
      <c r="M7" s="144"/>
      <c r="N7" s="73" t="s">
        <v>24</v>
      </c>
      <c r="O7" s="74">
        <f>SUMIFS(H2:H200,C2:C200,N7,L2:L200,"Não")</f>
        <v>0</v>
      </c>
      <c r="P7" s="74">
        <f>SUMIFS(I2:I200,C2:C200,N7,L2:L200,"Não")</f>
        <v>0</v>
      </c>
      <c r="Q7" s="129"/>
      <c r="R7" s="130"/>
      <c r="S7" s="297" t="s">
        <v>69</v>
      </c>
      <c r="T7" s="75" t="s">
        <v>40</v>
      </c>
      <c r="U7" s="75">
        <v>10</v>
      </c>
      <c r="V7" s="76" t="s">
        <v>21</v>
      </c>
      <c r="W7" s="156" t="s">
        <v>51</v>
      </c>
      <c r="X7" s="160">
        <v>6</v>
      </c>
      <c r="Y7" s="161" t="s">
        <v>39</v>
      </c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</row>
    <row r="8" spans="1:55" ht="15" customHeight="1" thickBot="1" x14ac:dyDescent="0.3">
      <c r="A8" s="1"/>
      <c r="B8" s="2"/>
      <c r="C8" s="133"/>
      <c r="D8" s="2"/>
      <c r="E8" s="16"/>
      <c r="F8" s="2"/>
      <c r="G8" s="2"/>
      <c r="H8" s="3"/>
      <c r="I8" s="3"/>
      <c r="J8" s="3"/>
      <c r="K8" s="4"/>
      <c r="L8" s="5"/>
      <c r="M8" s="144"/>
      <c r="N8" s="77" t="s">
        <v>25</v>
      </c>
      <c r="O8" s="78">
        <f>SUM(O2:O3)</f>
        <v>0</v>
      </c>
      <c r="P8" s="78">
        <f>SUM(P2:P3)</f>
        <v>0</v>
      </c>
      <c r="Q8" s="79"/>
      <c r="R8" s="80">
        <f>SUM(R3+R4)+Nov.25!R7</f>
        <v>898</v>
      </c>
      <c r="S8" s="298"/>
      <c r="T8" s="81">
        <v>55</v>
      </c>
      <c r="U8" s="82">
        <v>15</v>
      </c>
      <c r="V8" s="83" t="s">
        <v>21</v>
      </c>
      <c r="W8" s="154" t="s">
        <v>52</v>
      </c>
      <c r="X8" s="160">
        <v>7</v>
      </c>
      <c r="Y8" s="161" t="s">
        <v>41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</row>
    <row r="9" spans="1:55" ht="15" customHeight="1" thickBot="1" x14ac:dyDescent="0.3">
      <c r="A9" s="1"/>
      <c r="B9" s="17"/>
      <c r="C9" s="133"/>
      <c r="D9" s="2"/>
      <c r="E9" s="16"/>
      <c r="F9" s="2"/>
      <c r="G9" s="2"/>
      <c r="H9" s="3"/>
      <c r="I9" s="3"/>
      <c r="J9" s="3"/>
      <c r="K9" s="4"/>
      <c r="L9" s="5"/>
      <c r="M9" s="144"/>
      <c r="N9" s="145"/>
      <c r="O9" s="146"/>
      <c r="P9" s="146"/>
      <c r="Q9" s="146"/>
      <c r="R9" s="146"/>
      <c r="S9" s="146"/>
      <c r="T9" s="146"/>
      <c r="U9" s="146"/>
      <c r="V9" s="143"/>
      <c r="W9" s="158" t="s">
        <v>49</v>
      </c>
      <c r="X9" s="160">
        <v>8</v>
      </c>
      <c r="Y9" s="161" t="s">
        <v>42</v>
      </c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</row>
    <row r="10" spans="1:55" ht="15" customHeight="1" thickBot="1" x14ac:dyDescent="0.3">
      <c r="A10" s="1"/>
      <c r="B10" s="2"/>
      <c r="C10" s="133"/>
      <c r="D10" s="2"/>
      <c r="E10" s="16"/>
      <c r="F10" s="2"/>
      <c r="G10" s="2"/>
      <c r="H10" s="3"/>
      <c r="I10" s="3"/>
      <c r="J10" s="3"/>
      <c r="K10" s="4"/>
      <c r="L10" s="5"/>
      <c r="M10" s="144"/>
      <c r="N10" s="299" t="s">
        <v>67</v>
      </c>
      <c r="O10" s="300"/>
      <c r="P10" s="301"/>
      <c r="Q10" s="273" t="s">
        <v>68</v>
      </c>
      <c r="R10" s="274"/>
      <c r="S10" s="274"/>
      <c r="T10" s="274"/>
      <c r="U10" s="275"/>
      <c r="V10" s="143"/>
      <c r="W10" s="157" t="s">
        <v>47</v>
      </c>
      <c r="X10" s="160">
        <v>9</v>
      </c>
      <c r="Y10" s="161" t="s">
        <v>33</v>
      </c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</row>
    <row r="11" spans="1:55" ht="15" customHeight="1" thickBot="1" x14ac:dyDescent="0.3">
      <c r="A11" s="1"/>
      <c r="B11" s="2"/>
      <c r="C11" s="133"/>
      <c r="D11" s="2"/>
      <c r="E11" s="16"/>
      <c r="F11" s="2"/>
      <c r="G11" s="2"/>
      <c r="H11" s="3"/>
      <c r="I11" s="3"/>
      <c r="J11" s="3"/>
      <c r="K11" s="4"/>
      <c r="L11" s="5"/>
      <c r="M11" s="144"/>
      <c r="N11" s="302" t="s">
        <v>43</v>
      </c>
      <c r="O11" s="303"/>
      <c r="P11" s="304"/>
      <c r="Q11" s="305" t="s">
        <v>43</v>
      </c>
      <c r="R11" s="306"/>
      <c r="S11" s="307"/>
      <c r="T11" s="105" t="s">
        <v>61</v>
      </c>
      <c r="U11" s="106" t="s">
        <v>4</v>
      </c>
      <c r="V11" s="143"/>
      <c r="W11" s="157" t="s">
        <v>50</v>
      </c>
      <c r="X11" s="160">
        <v>10</v>
      </c>
      <c r="Y11" s="162" t="s">
        <v>36</v>
      </c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</row>
    <row r="12" spans="1:55" ht="15" customHeight="1" x14ac:dyDescent="0.25">
      <c r="A12" s="1"/>
      <c r="B12" s="2"/>
      <c r="C12" s="133"/>
      <c r="D12" s="165"/>
      <c r="E12" s="16"/>
      <c r="F12" s="2"/>
      <c r="G12" s="2"/>
      <c r="H12" s="3"/>
      <c r="I12" s="3"/>
      <c r="J12" s="3"/>
      <c r="K12" s="4"/>
      <c r="L12" s="5"/>
      <c r="M12" s="144"/>
      <c r="N12" s="98">
        <v>500</v>
      </c>
      <c r="O12" s="7">
        <v>0</v>
      </c>
      <c r="P12" s="94">
        <f t="shared" ref="P12:P14" si="0">N12*O12</f>
        <v>0</v>
      </c>
      <c r="Q12" s="100">
        <v>500</v>
      </c>
      <c r="R12" s="35">
        <v>0</v>
      </c>
      <c r="S12" s="104">
        <f t="shared" ref="S12" si="1">Q12*R12</f>
        <v>0</v>
      </c>
      <c r="T12" s="36" t="s">
        <v>62</v>
      </c>
      <c r="U12" s="37">
        <v>18.77</v>
      </c>
      <c r="V12" s="143"/>
      <c r="W12" s="157" t="s">
        <v>53</v>
      </c>
      <c r="X12" s="160">
        <v>11</v>
      </c>
      <c r="Y12" s="147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</row>
    <row r="13" spans="1:55" ht="15" customHeight="1" thickBot="1" x14ac:dyDescent="0.3">
      <c r="A13" s="1"/>
      <c r="B13" s="2"/>
      <c r="C13" s="133"/>
      <c r="D13" s="2"/>
      <c r="E13" s="16"/>
      <c r="F13" s="2"/>
      <c r="G13" s="2"/>
      <c r="H13" s="3"/>
      <c r="I13" s="3"/>
      <c r="J13" s="3"/>
      <c r="K13" s="4"/>
      <c r="L13" s="5"/>
      <c r="M13" s="144"/>
      <c r="N13" s="91">
        <v>200</v>
      </c>
      <c r="O13" s="7">
        <v>1</v>
      </c>
      <c r="P13" s="94">
        <f t="shared" si="0"/>
        <v>200</v>
      </c>
      <c r="Q13" s="91">
        <v>200</v>
      </c>
      <c r="R13" s="7">
        <v>0</v>
      </c>
      <c r="S13" s="103">
        <f>Q13*R13</f>
        <v>0</v>
      </c>
      <c r="T13" s="28"/>
      <c r="U13" s="25"/>
      <c r="V13" s="143"/>
      <c r="W13" s="162" t="s">
        <v>54</v>
      </c>
      <c r="X13" s="160">
        <v>12</v>
      </c>
      <c r="Y13" s="147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</row>
    <row r="14" spans="1:55" ht="15" customHeight="1" x14ac:dyDescent="0.25">
      <c r="A14" s="1"/>
      <c r="B14" s="2"/>
      <c r="C14" s="133"/>
      <c r="D14" s="2"/>
      <c r="E14" s="16"/>
      <c r="F14" s="2"/>
      <c r="G14" s="2"/>
      <c r="H14" s="3"/>
      <c r="I14" s="3"/>
      <c r="J14" s="3"/>
      <c r="K14" s="4"/>
      <c r="L14" s="5"/>
      <c r="M14" s="144"/>
      <c r="N14" s="91">
        <v>100</v>
      </c>
      <c r="O14" s="7">
        <v>8</v>
      </c>
      <c r="P14" s="94">
        <f t="shared" si="0"/>
        <v>800</v>
      </c>
      <c r="Q14" s="91">
        <v>100</v>
      </c>
      <c r="R14" s="7">
        <v>0</v>
      </c>
      <c r="S14" s="103">
        <f>Q14*R14</f>
        <v>0</v>
      </c>
      <c r="T14" s="38"/>
      <c r="U14" s="50"/>
      <c r="V14" s="143"/>
      <c r="W14" s="147"/>
      <c r="X14" s="160">
        <v>13</v>
      </c>
      <c r="Y14" s="147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</row>
    <row r="15" spans="1:55" ht="15" customHeight="1" x14ac:dyDescent="0.25">
      <c r="A15" s="1"/>
      <c r="B15" s="17"/>
      <c r="C15" s="133"/>
      <c r="D15" s="2"/>
      <c r="E15" s="18"/>
      <c r="F15" s="2"/>
      <c r="G15" s="2"/>
      <c r="H15" s="3"/>
      <c r="I15" s="3"/>
      <c r="J15" s="3"/>
      <c r="K15" s="4"/>
      <c r="L15" s="5"/>
      <c r="M15" s="144"/>
      <c r="N15" s="91">
        <v>50</v>
      </c>
      <c r="O15" s="7">
        <v>31</v>
      </c>
      <c r="P15" s="94">
        <f>N15*O15</f>
        <v>1550</v>
      </c>
      <c r="Q15" s="91">
        <v>50</v>
      </c>
      <c r="R15" s="7">
        <v>0</v>
      </c>
      <c r="S15" s="103">
        <f>Q15*R15</f>
        <v>0</v>
      </c>
      <c r="T15" s="28"/>
      <c r="U15" s="51"/>
      <c r="V15" s="143"/>
      <c r="W15" s="147"/>
      <c r="X15" s="160">
        <v>14</v>
      </c>
      <c r="Y15" s="147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</row>
    <row r="16" spans="1:55" ht="15" customHeight="1" x14ac:dyDescent="0.25">
      <c r="A16" s="1"/>
      <c r="B16" s="2"/>
      <c r="C16" s="133"/>
      <c r="D16" s="2"/>
      <c r="E16" s="16"/>
      <c r="F16" s="2"/>
      <c r="G16" s="2"/>
      <c r="H16" s="3"/>
      <c r="I16" s="3"/>
      <c r="J16" s="3"/>
      <c r="K16" s="4"/>
      <c r="L16" s="5"/>
      <c r="M16" s="144"/>
      <c r="N16" s="91">
        <v>20</v>
      </c>
      <c r="O16" s="7">
        <v>24</v>
      </c>
      <c r="P16" s="94">
        <f>N16*O16</f>
        <v>480</v>
      </c>
      <c r="Q16" s="91">
        <v>20</v>
      </c>
      <c r="R16" s="7">
        <v>0</v>
      </c>
      <c r="S16" s="103">
        <f>Q16*R16</f>
        <v>0</v>
      </c>
      <c r="T16" s="28"/>
      <c r="U16" s="51"/>
      <c r="V16" s="143"/>
      <c r="W16" s="147"/>
      <c r="X16" s="160">
        <v>15</v>
      </c>
      <c r="Y16" s="147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</row>
    <row r="17" spans="1:55" ht="15" customHeight="1" x14ac:dyDescent="0.25">
      <c r="A17" s="1"/>
      <c r="B17" s="2"/>
      <c r="C17" s="133"/>
      <c r="D17" s="2"/>
      <c r="E17" s="16"/>
      <c r="F17" s="2"/>
      <c r="G17" s="2"/>
      <c r="H17" s="3"/>
      <c r="I17" s="3"/>
      <c r="J17" s="3"/>
      <c r="K17" s="4"/>
      <c r="L17" s="5"/>
      <c r="M17" s="144"/>
      <c r="N17" s="91">
        <v>10</v>
      </c>
      <c r="O17" s="7">
        <v>1</v>
      </c>
      <c r="P17" s="94">
        <f t="shared" ref="P17:P18" si="2">N17*O17</f>
        <v>10</v>
      </c>
      <c r="Q17" s="91">
        <v>10</v>
      </c>
      <c r="R17" s="7">
        <v>7</v>
      </c>
      <c r="S17" s="103">
        <f>Q17*R17</f>
        <v>70</v>
      </c>
      <c r="T17" s="28"/>
      <c r="U17" s="25"/>
      <c r="V17" s="143"/>
      <c r="W17" s="147"/>
      <c r="X17" s="160">
        <v>16</v>
      </c>
      <c r="Y17" s="147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3"/>
    </row>
    <row r="18" spans="1:55" ht="15" customHeight="1" x14ac:dyDescent="0.25">
      <c r="A18" s="2"/>
      <c r="B18" s="2"/>
      <c r="C18" s="133"/>
      <c r="D18" s="2"/>
      <c r="E18" s="2"/>
      <c r="F18" s="2"/>
      <c r="G18" s="2"/>
      <c r="H18" s="3"/>
      <c r="I18" s="3"/>
      <c r="J18" s="3"/>
      <c r="K18" s="4"/>
      <c r="L18" s="5"/>
      <c r="M18" s="144"/>
      <c r="N18" s="91">
        <v>5</v>
      </c>
      <c r="O18" s="7">
        <v>1</v>
      </c>
      <c r="P18" s="94">
        <f t="shared" si="2"/>
        <v>5</v>
      </c>
      <c r="Q18" s="91">
        <v>5</v>
      </c>
      <c r="R18" s="7">
        <v>1</v>
      </c>
      <c r="S18" s="103">
        <f t="shared" ref="S18" si="3">Q18*R18</f>
        <v>5</v>
      </c>
      <c r="T18" s="28"/>
      <c r="U18" s="25"/>
      <c r="V18" s="143"/>
      <c r="W18" s="147"/>
      <c r="X18" s="160">
        <v>17</v>
      </c>
      <c r="Y18" s="147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</row>
    <row r="19" spans="1:55" ht="15" customHeight="1" thickBot="1" x14ac:dyDescent="0.3">
      <c r="A19" s="1"/>
      <c r="B19" s="2"/>
      <c r="C19" s="133"/>
      <c r="D19" s="2"/>
      <c r="E19" s="18"/>
      <c r="F19" s="2"/>
      <c r="G19" s="2"/>
      <c r="H19" s="3"/>
      <c r="I19" s="3"/>
      <c r="J19" s="3"/>
      <c r="K19" s="4"/>
      <c r="L19" s="5"/>
      <c r="M19" s="144"/>
      <c r="N19" s="308"/>
      <c r="O19" s="309"/>
      <c r="P19" s="99">
        <f>SUM(P12:P18)</f>
        <v>3045</v>
      </c>
      <c r="Q19" s="310"/>
      <c r="R19" s="311"/>
      <c r="S19" s="107">
        <f>SUM(S12:S18)</f>
        <v>75</v>
      </c>
      <c r="T19" s="28"/>
      <c r="U19" s="25"/>
      <c r="V19" s="143"/>
      <c r="W19" s="147"/>
      <c r="X19" s="160">
        <v>18</v>
      </c>
      <c r="Y19" s="147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</row>
    <row r="20" spans="1:55" ht="15" customHeight="1" x14ac:dyDescent="0.25">
      <c r="A20" s="1"/>
      <c r="B20" s="2"/>
      <c r="C20" s="133"/>
      <c r="D20" s="2"/>
      <c r="E20" s="20"/>
      <c r="F20" s="2"/>
      <c r="G20" s="2"/>
      <c r="H20" s="3"/>
      <c r="I20" s="3"/>
      <c r="J20" s="3"/>
      <c r="K20" s="4"/>
      <c r="L20" s="5"/>
      <c r="M20" s="144"/>
      <c r="N20" s="312" t="s">
        <v>44</v>
      </c>
      <c r="O20" s="313"/>
      <c r="P20" s="314"/>
      <c r="Q20" s="315" t="s">
        <v>44</v>
      </c>
      <c r="R20" s="316"/>
      <c r="S20" s="317"/>
      <c r="T20" s="28"/>
      <c r="U20" s="25"/>
      <c r="V20" s="143"/>
      <c r="W20" s="147"/>
      <c r="X20" s="160">
        <v>19</v>
      </c>
      <c r="Y20" s="147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</row>
    <row r="21" spans="1:55" ht="15" customHeight="1" x14ac:dyDescent="0.25">
      <c r="A21" s="1"/>
      <c r="B21" s="2"/>
      <c r="C21" s="133"/>
      <c r="D21" s="2"/>
      <c r="E21" s="16"/>
      <c r="F21" s="2"/>
      <c r="G21" s="2"/>
      <c r="H21" s="3"/>
      <c r="I21" s="3"/>
      <c r="J21" s="3"/>
      <c r="K21" s="4"/>
      <c r="L21" s="5"/>
      <c r="M21" s="144"/>
      <c r="N21" s="100">
        <v>2</v>
      </c>
      <c r="O21" s="35">
        <v>0</v>
      </c>
      <c r="P21" s="96">
        <f t="shared" ref="P21:P28" si="4">N21*O21</f>
        <v>0</v>
      </c>
      <c r="Q21" s="100">
        <v>2</v>
      </c>
      <c r="R21" s="35">
        <v>1</v>
      </c>
      <c r="S21" s="102">
        <f>Q21*R21</f>
        <v>2</v>
      </c>
      <c r="T21" s="28"/>
      <c r="U21" s="25"/>
      <c r="V21" s="143"/>
      <c r="W21" s="147"/>
      <c r="X21" s="160">
        <v>20</v>
      </c>
      <c r="Y21" s="147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</row>
    <row r="22" spans="1:55" ht="15" customHeight="1" x14ac:dyDescent="0.25">
      <c r="A22" s="1"/>
      <c r="B22" s="2"/>
      <c r="C22" s="133"/>
      <c r="D22" s="2"/>
      <c r="E22" s="2"/>
      <c r="F22" s="2"/>
      <c r="G22" s="2"/>
      <c r="H22" s="3"/>
      <c r="I22" s="3"/>
      <c r="J22" s="3"/>
      <c r="K22" s="2"/>
      <c r="L22" s="5"/>
      <c r="M22" s="144"/>
      <c r="N22" s="91">
        <v>1</v>
      </c>
      <c r="O22" s="7">
        <v>0</v>
      </c>
      <c r="P22" s="94">
        <f t="shared" si="4"/>
        <v>0</v>
      </c>
      <c r="Q22" s="91">
        <v>1</v>
      </c>
      <c r="R22" s="7">
        <v>2</v>
      </c>
      <c r="S22" s="103">
        <f t="shared" ref="S22:S28" si="5">Q22*R22</f>
        <v>2</v>
      </c>
      <c r="T22" s="28"/>
      <c r="U22" s="25"/>
      <c r="V22" s="143"/>
      <c r="W22" s="147"/>
      <c r="X22" s="160">
        <v>21</v>
      </c>
      <c r="Y22" s="147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</row>
    <row r="23" spans="1:55" ht="15" customHeight="1" x14ac:dyDescent="0.25">
      <c r="A23" s="1"/>
      <c r="B23" s="2"/>
      <c r="C23" s="133"/>
      <c r="D23" s="2"/>
      <c r="E23" s="16"/>
      <c r="F23" s="2"/>
      <c r="G23" s="2"/>
      <c r="H23" s="3"/>
      <c r="I23" s="3"/>
      <c r="J23" s="3"/>
      <c r="K23" s="4"/>
      <c r="L23" s="5"/>
      <c r="M23" s="144"/>
      <c r="N23" s="91">
        <v>0.5</v>
      </c>
      <c r="O23" s="7">
        <v>0</v>
      </c>
      <c r="P23" s="94">
        <f t="shared" si="4"/>
        <v>0</v>
      </c>
      <c r="Q23" s="91">
        <v>0.5</v>
      </c>
      <c r="R23" s="7">
        <v>3</v>
      </c>
      <c r="S23" s="103">
        <f t="shared" si="5"/>
        <v>1.5</v>
      </c>
      <c r="T23" s="28"/>
      <c r="U23" s="25"/>
      <c r="V23" s="143"/>
      <c r="W23" s="147"/>
      <c r="X23" s="160">
        <v>22</v>
      </c>
      <c r="Y23" s="147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</row>
    <row r="24" spans="1:55" ht="15" customHeight="1" thickBot="1" x14ac:dyDescent="0.3">
      <c r="A24" s="1"/>
      <c r="B24" s="2"/>
      <c r="C24" s="133"/>
      <c r="D24" s="2"/>
      <c r="E24" s="18"/>
      <c r="F24" s="2"/>
      <c r="G24" s="2"/>
      <c r="H24" s="3"/>
      <c r="I24" s="3"/>
      <c r="J24" s="3"/>
      <c r="K24" s="4"/>
      <c r="L24" s="5"/>
      <c r="M24" s="144"/>
      <c r="N24" s="91">
        <v>0.2</v>
      </c>
      <c r="O24" s="7">
        <v>2</v>
      </c>
      <c r="P24" s="94">
        <f t="shared" si="4"/>
        <v>0.4</v>
      </c>
      <c r="Q24" s="91">
        <v>0.2</v>
      </c>
      <c r="R24" s="7">
        <v>8</v>
      </c>
      <c r="S24" s="103">
        <f t="shared" si="5"/>
        <v>1.6</v>
      </c>
      <c r="T24" s="33"/>
      <c r="U24" s="34"/>
      <c r="V24" s="143"/>
      <c r="W24" s="147"/>
      <c r="X24" s="160">
        <v>23</v>
      </c>
      <c r="Y24" s="147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</row>
    <row r="25" spans="1:55" ht="15" customHeight="1" x14ac:dyDescent="0.25">
      <c r="A25" s="1"/>
      <c r="B25" s="2"/>
      <c r="C25" s="133"/>
      <c r="D25" s="2"/>
      <c r="E25" s="16"/>
      <c r="F25" s="2"/>
      <c r="G25" s="2"/>
      <c r="H25" s="3"/>
      <c r="I25" s="3"/>
      <c r="J25" s="3"/>
      <c r="K25" s="4"/>
      <c r="L25" s="5"/>
      <c r="M25" s="144"/>
      <c r="N25" s="91">
        <v>0.1</v>
      </c>
      <c r="O25" s="7">
        <v>1</v>
      </c>
      <c r="P25" s="94">
        <f t="shared" si="4"/>
        <v>0.1</v>
      </c>
      <c r="Q25" s="91">
        <v>0.1</v>
      </c>
      <c r="R25" s="7">
        <v>17</v>
      </c>
      <c r="S25" s="96">
        <f t="shared" si="5"/>
        <v>1.7000000000000002</v>
      </c>
      <c r="T25" s="109" t="s">
        <v>63</v>
      </c>
      <c r="U25" s="110">
        <f>SUM(U12:U24)</f>
        <v>18.77</v>
      </c>
      <c r="V25" s="143"/>
      <c r="W25" s="147"/>
      <c r="X25" s="160">
        <v>24</v>
      </c>
      <c r="Y25" s="147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</row>
    <row r="26" spans="1:55" ht="15" customHeight="1" thickBot="1" x14ac:dyDescent="0.3">
      <c r="A26" s="1"/>
      <c r="B26" s="2"/>
      <c r="C26" s="133"/>
      <c r="D26" s="2"/>
      <c r="E26" s="16"/>
      <c r="F26" s="2"/>
      <c r="G26" s="2"/>
      <c r="H26" s="3"/>
      <c r="I26" s="3"/>
      <c r="J26" s="3"/>
      <c r="K26" s="4"/>
      <c r="L26" s="5"/>
      <c r="M26" s="144"/>
      <c r="N26" s="91">
        <v>0.05</v>
      </c>
      <c r="O26" s="7">
        <v>0</v>
      </c>
      <c r="P26" s="94">
        <f t="shared" si="4"/>
        <v>0</v>
      </c>
      <c r="Q26" s="91">
        <v>0.05</v>
      </c>
      <c r="R26" s="7">
        <v>17</v>
      </c>
      <c r="S26" s="94">
        <f t="shared" si="5"/>
        <v>0.85000000000000009</v>
      </c>
      <c r="T26" s="111" t="s">
        <v>64</v>
      </c>
      <c r="U26" s="108">
        <v>103.72</v>
      </c>
      <c r="V26" s="143"/>
      <c r="W26" s="147"/>
      <c r="X26" s="160">
        <v>25</v>
      </c>
      <c r="Y26" s="147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</row>
    <row r="27" spans="1:55" ht="15" customHeight="1" x14ac:dyDescent="0.25">
      <c r="A27" s="1"/>
      <c r="B27" s="2"/>
      <c r="C27" s="133"/>
      <c r="D27" s="2"/>
      <c r="E27" s="16"/>
      <c r="F27" s="2"/>
      <c r="G27" s="2"/>
      <c r="H27" s="3"/>
      <c r="I27" s="3"/>
      <c r="J27" s="3"/>
      <c r="K27" s="4"/>
      <c r="L27" s="5"/>
      <c r="M27" s="144"/>
      <c r="N27" s="91">
        <v>0.02</v>
      </c>
      <c r="O27" s="7">
        <v>0</v>
      </c>
      <c r="P27" s="94">
        <f t="shared" si="4"/>
        <v>0</v>
      </c>
      <c r="Q27" s="91">
        <v>0.02</v>
      </c>
      <c r="R27" s="7">
        <v>5</v>
      </c>
      <c r="S27" s="94">
        <f t="shared" si="5"/>
        <v>0.1</v>
      </c>
      <c r="T27" s="315" t="s">
        <v>65</v>
      </c>
      <c r="U27" s="317"/>
      <c r="V27" s="143"/>
      <c r="W27" s="147"/>
      <c r="X27" s="160">
        <v>26</v>
      </c>
      <c r="Y27" s="147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</row>
    <row r="28" spans="1:55" ht="15" customHeight="1" thickBot="1" x14ac:dyDescent="0.3">
      <c r="A28" s="1"/>
      <c r="B28" s="17"/>
      <c r="C28" s="133"/>
      <c r="D28" s="2"/>
      <c r="E28" s="16"/>
      <c r="F28" s="2"/>
      <c r="G28" s="2"/>
      <c r="H28" s="3"/>
      <c r="I28" s="3"/>
      <c r="J28" s="3"/>
      <c r="K28" s="4"/>
      <c r="L28" s="5"/>
      <c r="M28" s="144"/>
      <c r="N28" s="91">
        <v>0.01</v>
      </c>
      <c r="O28" s="7">
        <v>0</v>
      </c>
      <c r="P28" s="94">
        <f t="shared" si="4"/>
        <v>0</v>
      </c>
      <c r="Q28" s="92">
        <v>0.01</v>
      </c>
      <c r="R28" s="26">
        <v>20</v>
      </c>
      <c r="S28" s="95">
        <f t="shared" si="5"/>
        <v>0.2</v>
      </c>
      <c r="T28" s="286">
        <f>S19+S29+U25-U26</f>
        <v>0</v>
      </c>
      <c r="U28" s="287"/>
      <c r="V28" s="143"/>
      <c r="W28" s="147"/>
      <c r="X28" s="160">
        <v>27</v>
      </c>
      <c r="Y28" s="147"/>
      <c r="Z28" s="143"/>
      <c r="AA28" s="143"/>
      <c r="AB28" s="143" t="s">
        <v>34</v>
      </c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</row>
    <row r="29" spans="1:55" ht="15" customHeight="1" thickBot="1" x14ac:dyDescent="0.3">
      <c r="A29" s="1"/>
      <c r="B29" s="2"/>
      <c r="C29" s="133"/>
      <c r="D29" s="2"/>
      <c r="E29" s="16"/>
      <c r="F29" s="2"/>
      <c r="G29" s="2"/>
      <c r="H29" s="3"/>
      <c r="I29" s="3"/>
      <c r="J29" s="3"/>
      <c r="K29" s="4"/>
      <c r="L29" s="5"/>
      <c r="M29" s="144"/>
      <c r="N29" s="290"/>
      <c r="O29" s="291"/>
      <c r="P29" s="101">
        <f>SUM(P21:P28)</f>
        <v>0.5</v>
      </c>
      <c r="Q29" s="292"/>
      <c r="R29" s="293"/>
      <c r="S29" s="108">
        <f>SUM(S21:S28)</f>
        <v>9.9499999999999993</v>
      </c>
      <c r="T29" s="288"/>
      <c r="U29" s="289"/>
      <c r="V29" s="143"/>
      <c r="W29" s="147"/>
      <c r="X29" s="160">
        <v>28</v>
      </c>
      <c r="Y29" s="147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</row>
    <row r="30" spans="1:55" ht="15" customHeight="1" thickBot="1" x14ac:dyDescent="0.3">
      <c r="A30" s="1"/>
      <c r="B30" s="2"/>
      <c r="C30" s="133"/>
      <c r="D30" s="2"/>
      <c r="E30" s="16"/>
      <c r="F30" s="2"/>
      <c r="G30" s="2"/>
      <c r="H30" s="3"/>
      <c r="I30" s="3"/>
      <c r="J30" s="3"/>
      <c r="K30" s="4"/>
      <c r="L30" s="5"/>
      <c r="M30" s="144"/>
      <c r="N30" s="271" t="s">
        <v>25</v>
      </c>
      <c r="O30" s="272"/>
      <c r="P30" s="112">
        <f>SUM(P19+P29-R8)</f>
        <v>2147.5</v>
      </c>
      <c r="Q30" s="163"/>
      <c r="R30" s="164"/>
      <c r="S30" s="164"/>
      <c r="T30" s="148"/>
      <c r="U30" s="148"/>
      <c r="V30" s="148"/>
      <c r="W30" s="147"/>
      <c r="X30" s="160">
        <v>29</v>
      </c>
      <c r="Y30" s="147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</row>
    <row r="31" spans="1:55" ht="15" customHeight="1" thickBot="1" x14ac:dyDescent="0.3">
      <c r="A31" s="1"/>
      <c r="B31" s="2"/>
      <c r="C31" s="133"/>
      <c r="D31" s="2"/>
      <c r="E31" s="16"/>
      <c r="F31" s="2"/>
      <c r="G31" s="2"/>
      <c r="H31" s="3"/>
      <c r="I31" s="3"/>
      <c r="J31" s="3"/>
      <c r="K31" s="4"/>
      <c r="L31" s="5"/>
      <c r="M31" s="144"/>
      <c r="N31" s="149"/>
      <c r="O31" s="150"/>
      <c r="P31" s="150"/>
      <c r="Q31" s="150"/>
      <c r="R31" s="150"/>
      <c r="S31" s="150"/>
      <c r="T31" s="150"/>
      <c r="U31" s="150"/>
      <c r="V31" s="150"/>
      <c r="W31" s="147"/>
      <c r="X31" s="160">
        <v>30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</row>
    <row r="32" spans="1:55" ht="15" customHeight="1" thickBot="1" x14ac:dyDescent="0.3">
      <c r="A32" s="1"/>
      <c r="B32" s="2"/>
      <c r="C32" s="133"/>
      <c r="D32" s="2"/>
      <c r="E32" s="16"/>
      <c r="F32" s="2"/>
      <c r="G32" s="2"/>
      <c r="H32" s="3"/>
      <c r="I32" s="3"/>
      <c r="J32" s="3"/>
      <c r="K32" s="4"/>
      <c r="L32" s="5"/>
      <c r="M32" s="144"/>
      <c r="N32" s="273" t="s">
        <v>66</v>
      </c>
      <c r="O32" s="274"/>
      <c r="P32" s="274"/>
      <c r="Q32" s="274"/>
      <c r="R32" s="275"/>
      <c r="S32" s="273" t="s">
        <v>73</v>
      </c>
      <c r="T32" s="274"/>
      <c r="U32" s="274"/>
      <c r="V32" s="275"/>
      <c r="W32" s="143"/>
      <c r="X32" s="162">
        <v>31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</row>
    <row r="33" spans="1:55" ht="15" customHeight="1" thickBot="1" x14ac:dyDescent="0.3">
      <c r="A33" s="1"/>
      <c r="B33" s="2"/>
      <c r="C33" s="133"/>
      <c r="D33" s="2"/>
      <c r="E33" s="16"/>
      <c r="F33" s="2"/>
      <c r="G33" s="2"/>
      <c r="H33" s="3"/>
      <c r="I33" s="3"/>
      <c r="J33" s="3"/>
      <c r="K33" s="4"/>
      <c r="L33" s="5"/>
      <c r="M33" s="144"/>
      <c r="N33" s="276" t="s">
        <v>43</v>
      </c>
      <c r="O33" s="277"/>
      <c r="P33" s="278"/>
      <c r="Q33" s="113" t="s">
        <v>58</v>
      </c>
      <c r="R33" s="114" t="s">
        <v>4</v>
      </c>
      <c r="S33" s="135" t="s">
        <v>0</v>
      </c>
      <c r="T33" s="136" t="s">
        <v>58</v>
      </c>
      <c r="U33" s="137" t="s">
        <v>4</v>
      </c>
      <c r="V33" s="138" t="s">
        <v>6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</row>
    <row r="34" spans="1:55" ht="15" customHeight="1" x14ac:dyDescent="0.25">
      <c r="A34" s="1"/>
      <c r="B34" s="2"/>
      <c r="C34" s="133"/>
      <c r="D34" s="2"/>
      <c r="E34" s="16"/>
      <c r="F34" s="2"/>
      <c r="G34" s="2"/>
      <c r="H34" s="3"/>
      <c r="I34" s="3"/>
      <c r="J34" s="3"/>
      <c r="K34" s="4"/>
      <c r="L34" s="5"/>
      <c r="M34" s="144"/>
      <c r="N34" s="100">
        <v>500</v>
      </c>
      <c r="O34" s="35">
        <v>0</v>
      </c>
      <c r="P34" s="96">
        <f t="shared" ref="P34" si="6">N34*O34</f>
        <v>0</v>
      </c>
      <c r="Q34" s="38" t="s">
        <v>18</v>
      </c>
      <c r="R34" s="39">
        <v>1.7</v>
      </c>
      <c r="S34" s="84"/>
      <c r="T34" s="85" t="s">
        <v>17</v>
      </c>
      <c r="U34" s="86">
        <f>Q2</f>
        <v>0</v>
      </c>
      <c r="V34" s="6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</row>
    <row r="35" spans="1:55" ht="15" customHeight="1" x14ac:dyDescent="0.25">
      <c r="A35" s="1"/>
      <c r="B35" s="2"/>
      <c r="C35" s="133"/>
      <c r="D35" s="2"/>
      <c r="E35" s="16"/>
      <c r="F35" s="2"/>
      <c r="G35" s="2"/>
      <c r="H35" s="3"/>
      <c r="I35" s="3"/>
      <c r="J35" s="3"/>
      <c r="K35" s="4"/>
      <c r="L35" s="5"/>
      <c r="M35" s="144"/>
      <c r="N35" s="91">
        <v>200</v>
      </c>
      <c r="O35" s="7">
        <v>0</v>
      </c>
      <c r="P35" s="94">
        <f>N35*O35</f>
        <v>0</v>
      </c>
      <c r="Q35" s="28"/>
      <c r="R35" s="25"/>
      <c r="S35" s="87"/>
      <c r="T35" s="88" t="s">
        <v>13</v>
      </c>
      <c r="U35" s="89">
        <f>Q3</f>
        <v>0</v>
      </c>
      <c r="V35" s="69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</row>
    <row r="36" spans="1:55" ht="15" customHeight="1" x14ac:dyDescent="0.25">
      <c r="A36" s="1"/>
      <c r="B36" s="2"/>
      <c r="C36" s="133"/>
      <c r="D36" s="2"/>
      <c r="E36" s="16"/>
      <c r="F36" s="2"/>
      <c r="G36" s="2"/>
      <c r="H36" s="3"/>
      <c r="I36" s="8"/>
      <c r="J36" s="3"/>
      <c r="K36" s="4"/>
      <c r="L36" s="5"/>
      <c r="M36" s="144"/>
      <c r="N36" s="91">
        <v>100</v>
      </c>
      <c r="O36" s="7">
        <v>4</v>
      </c>
      <c r="P36" s="94">
        <f>N36*O36</f>
        <v>400</v>
      </c>
      <c r="Q36" s="28"/>
      <c r="R36" s="25"/>
      <c r="S36" s="87"/>
      <c r="T36" s="88" t="s">
        <v>22</v>
      </c>
      <c r="U36" s="89">
        <f>Q4</f>
        <v>0</v>
      </c>
      <c r="V36" s="69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</row>
    <row r="37" spans="1:55" ht="15" customHeight="1" x14ac:dyDescent="0.25">
      <c r="A37" s="1"/>
      <c r="B37" s="2"/>
      <c r="C37" s="133"/>
      <c r="D37" s="2"/>
      <c r="E37" s="16"/>
      <c r="F37" s="2"/>
      <c r="G37" s="2"/>
      <c r="H37" s="3"/>
      <c r="I37" s="8"/>
      <c r="J37" s="3"/>
      <c r="K37" s="4"/>
      <c r="L37" s="5"/>
      <c r="M37" s="144"/>
      <c r="N37" s="91">
        <v>50</v>
      </c>
      <c r="O37" s="7">
        <v>5</v>
      </c>
      <c r="P37" s="94">
        <f>N37*O37</f>
        <v>250</v>
      </c>
      <c r="Q37" s="30"/>
      <c r="R37" s="25"/>
      <c r="S37" s="139">
        <v>12</v>
      </c>
      <c r="T37" s="140" t="s">
        <v>72</v>
      </c>
      <c r="U37" s="141">
        <v>20.69</v>
      </c>
      <c r="V37" s="142" t="s">
        <v>18</v>
      </c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</row>
    <row r="38" spans="1:55" ht="15" customHeight="1" x14ac:dyDescent="0.25">
      <c r="A38" s="1"/>
      <c r="B38" s="2"/>
      <c r="C38" s="133"/>
      <c r="D38" s="2"/>
      <c r="E38" s="2"/>
      <c r="F38" s="2"/>
      <c r="G38" s="2"/>
      <c r="H38" s="3"/>
      <c r="I38" s="3"/>
      <c r="J38" s="3"/>
      <c r="K38" s="4"/>
      <c r="L38" s="5"/>
      <c r="M38" s="144"/>
      <c r="N38" s="91">
        <v>20</v>
      </c>
      <c r="O38" s="7">
        <v>12</v>
      </c>
      <c r="P38" s="94">
        <f>N38*O38</f>
        <v>240</v>
      </c>
      <c r="Q38" s="28"/>
      <c r="R38" s="25"/>
      <c r="S38" s="40"/>
      <c r="T38" s="41"/>
      <c r="U38" s="42"/>
      <c r="V38" s="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</row>
    <row r="39" spans="1:55" ht="15" customHeight="1" x14ac:dyDescent="0.25">
      <c r="A39" s="1"/>
      <c r="B39" s="2"/>
      <c r="C39" s="133"/>
      <c r="D39" s="2"/>
      <c r="E39" s="16"/>
      <c r="F39" s="2"/>
      <c r="G39" s="2"/>
      <c r="H39" s="3"/>
      <c r="I39" s="8"/>
      <c r="J39" s="3"/>
      <c r="K39" s="4"/>
      <c r="L39" s="5"/>
      <c r="M39" s="144"/>
      <c r="N39" s="91">
        <v>10</v>
      </c>
      <c r="O39" s="7">
        <v>6</v>
      </c>
      <c r="P39" s="94">
        <f>N39*O39</f>
        <v>60</v>
      </c>
      <c r="Q39" s="28"/>
      <c r="R39" s="25"/>
      <c r="S39" s="40"/>
      <c r="T39" s="41"/>
      <c r="U39" s="42"/>
      <c r="V39" s="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</row>
    <row r="40" spans="1:55" ht="15" customHeight="1" thickBot="1" x14ac:dyDescent="0.3">
      <c r="A40" s="1"/>
      <c r="B40" s="2"/>
      <c r="C40" s="133"/>
      <c r="D40" s="2"/>
      <c r="E40" s="16"/>
      <c r="F40" s="2"/>
      <c r="G40" s="2"/>
      <c r="H40" s="3"/>
      <c r="I40" s="3"/>
      <c r="J40" s="3"/>
      <c r="K40" s="4"/>
      <c r="L40" s="5"/>
      <c r="M40" s="144"/>
      <c r="N40" s="124">
        <v>5</v>
      </c>
      <c r="O40" s="27">
        <v>0</v>
      </c>
      <c r="P40" s="97">
        <f t="shared" ref="P40" si="7">N40*O40</f>
        <v>0</v>
      </c>
      <c r="Q40" s="28"/>
      <c r="R40" s="25"/>
      <c r="S40" s="40"/>
      <c r="T40" s="41"/>
      <c r="U40" s="42"/>
      <c r="V40" s="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</row>
    <row r="41" spans="1:55" ht="15" customHeight="1" thickBot="1" x14ac:dyDescent="0.3">
      <c r="A41" s="1"/>
      <c r="B41" s="2"/>
      <c r="C41" s="133"/>
      <c r="D41" s="2"/>
      <c r="E41" s="16"/>
      <c r="F41" s="2"/>
      <c r="G41" s="2"/>
      <c r="H41" s="3"/>
      <c r="I41" s="3"/>
      <c r="J41" s="3"/>
      <c r="K41" s="4"/>
      <c r="L41" s="5"/>
      <c r="M41" s="144"/>
      <c r="N41" s="279"/>
      <c r="O41" s="280"/>
      <c r="P41" s="119">
        <f>SUM(P34:P40)</f>
        <v>950</v>
      </c>
      <c r="Q41" s="28"/>
      <c r="R41" s="25"/>
      <c r="S41" s="40"/>
      <c r="T41" s="41"/>
      <c r="U41" s="42"/>
      <c r="V41" s="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</row>
    <row r="42" spans="1:55" ht="15" customHeight="1" thickBot="1" x14ac:dyDescent="0.3">
      <c r="A42" s="1"/>
      <c r="B42" s="2"/>
      <c r="C42" s="133"/>
      <c r="D42" s="2"/>
      <c r="E42" s="18"/>
      <c r="F42" s="2"/>
      <c r="G42" s="2"/>
      <c r="H42" s="3"/>
      <c r="I42" s="8"/>
      <c r="J42" s="3"/>
      <c r="K42" s="4"/>
      <c r="L42" s="5"/>
      <c r="M42" s="144"/>
      <c r="N42" s="281" t="s">
        <v>44</v>
      </c>
      <c r="O42" s="282"/>
      <c r="P42" s="283"/>
      <c r="Q42" s="28"/>
      <c r="R42" s="25"/>
      <c r="S42" s="40"/>
      <c r="T42" s="41"/>
      <c r="U42" s="44"/>
      <c r="V42" s="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</row>
    <row r="43" spans="1:55" ht="15" customHeight="1" x14ac:dyDescent="0.25">
      <c r="A43" s="1"/>
      <c r="B43" s="2"/>
      <c r="C43" s="133"/>
      <c r="D43" s="2"/>
      <c r="E43" s="16"/>
      <c r="F43" s="2"/>
      <c r="G43" s="2"/>
      <c r="H43" s="3"/>
      <c r="I43" s="8"/>
      <c r="J43" s="3"/>
      <c r="K43" s="4"/>
      <c r="L43" s="5"/>
      <c r="M43" s="144"/>
      <c r="N43" s="90">
        <v>2</v>
      </c>
      <c r="O43" s="24">
        <v>0</v>
      </c>
      <c r="P43" s="93">
        <f t="shared" ref="P43:P50" si="8">N43*O43</f>
        <v>0</v>
      </c>
      <c r="Q43" s="29"/>
      <c r="R43" s="25"/>
      <c r="S43" s="40"/>
      <c r="T43" s="41"/>
      <c r="U43" s="44"/>
      <c r="V43" s="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</row>
    <row r="44" spans="1:55" ht="15" customHeight="1" x14ac:dyDescent="0.25">
      <c r="A44" s="1"/>
      <c r="B44" s="2"/>
      <c r="C44" s="133"/>
      <c r="D44" s="2"/>
      <c r="E44" s="16"/>
      <c r="F44" s="2"/>
      <c r="G44" s="2"/>
      <c r="H44" s="3"/>
      <c r="I44" s="8"/>
      <c r="J44" s="3"/>
      <c r="K44" s="4"/>
      <c r="L44" s="5"/>
      <c r="M44" s="144"/>
      <c r="N44" s="91">
        <v>1</v>
      </c>
      <c r="O44" s="7">
        <v>3</v>
      </c>
      <c r="P44" s="94">
        <f>N44*O44</f>
        <v>3</v>
      </c>
      <c r="Q44" s="29"/>
      <c r="R44" s="25"/>
      <c r="S44" s="40"/>
      <c r="T44" s="41"/>
      <c r="U44" s="44"/>
      <c r="V44" s="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</row>
    <row r="45" spans="1:55" ht="15" customHeight="1" thickBot="1" x14ac:dyDescent="0.3">
      <c r="A45" s="1"/>
      <c r="B45" s="2"/>
      <c r="C45" s="133"/>
      <c r="D45" s="2"/>
      <c r="E45" s="18"/>
      <c r="F45" s="2"/>
      <c r="G45" s="2"/>
      <c r="H45" s="3"/>
      <c r="I45" s="8"/>
      <c r="J45" s="3"/>
      <c r="K45" s="4"/>
      <c r="L45" s="5"/>
      <c r="M45" s="144"/>
      <c r="N45" s="91">
        <v>0.5</v>
      </c>
      <c r="O45" s="7">
        <v>0</v>
      </c>
      <c r="P45" s="94">
        <f>N45*O45</f>
        <v>0</v>
      </c>
      <c r="Q45" s="31"/>
      <c r="R45" s="32"/>
      <c r="S45" s="40"/>
      <c r="T45" s="41"/>
      <c r="U45" s="44"/>
      <c r="V45" s="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</row>
    <row r="46" spans="1:55" ht="15" customHeight="1" thickBot="1" x14ac:dyDescent="0.3">
      <c r="A46" s="1"/>
      <c r="B46" s="2"/>
      <c r="C46" s="133"/>
      <c r="D46" s="2"/>
      <c r="E46" s="16"/>
      <c r="F46" s="2"/>
      <c r="G46" s="2"/>
      <c r="H46" s="3"/>
      <c r="I46" s="8"/>
      <c r="J46" s="3"/>
      <c r="K46" s="4"/>
      <c r="L46" s="5"/>
      <c r="M46" s="144"/>
      <c r="N46" s="91">
        <v>0.2</v>
      </c>
      <c r="O46" s="7">
        <v>1</v>
      </c>
      <c r="P46" s="94">
        <f t="shared" si="8"/>
        <v>0.2</v>
      </c>
      <c r="Q46" s="120" t="s">
        <v>25</v>
      </c>
      <c r="R46" s="119">
        <f>SUM(R34:R45)</f>
        <v>1.7</v>
      </c>
      <c r="S46" s="40"/>
      <c r="T46" s="41"/>
      <c r="U46" s="44"/>
      <c r="V46" s="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</row>
    <row r="47" spans="1:55" ht="15" customHeight="1" thickBot="1" x14ac:dyDescent="0.3">
      <c r="A47" s="1"/>
      <c r="B47" s="165"/>
      <c r="C47" s="133"/>
      <c r="D47" s="2"/>
      <c r="E47" s="2"/>
      <c r="F47" s="2"/>
      <c r="G47" s="2"/>
      <c r="H47" s="3"/>
      <c r="I47" s="3"/>
      <c r="J47" s="3"/>
      <c r="K47" s="2"/>
      <c r="L47" s="5"/>
      <c r="M47" s="144"/>
      <c r="N47" s="91">
        <v>0.1</v>
      </c>
      <c r="O47" s="7">
        <v>1</v>
      </c>
      <c r="P47" s="94">
        <f t="shared" si="8"/>
        <v>0.1</v>
      </c>
      <c r="Q47" s="318"/>
      <c r="R47" s="319"/>
      <c r="S47" s="40"/>
      <c r="T47" s="41"/>
      <c r="U47" s="44"/>
      <c r="V47" s="45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3"/>
      <c r="BB47" s="143"/>
      <c r="BC47" s="143"/>
    </row>
    <row r="48" spans="1:55" ht="15" customHeight="1" x14ac:dyDescent="0.25">
      <c r="A48" s="1"/>
      <c r="B48" s="2"/>
      <c r="C48" s="133"/>
      <c r="D48" s="2"/>
      <c r="E48" s="2"/>
      <c r="F48" s="2"/>
      <c r="G48" s="2"/>
      <c r="H48" s="3"/>
      <c r="I48" s="3"/>
      <c r="J48" s="3"/>
      <c r="K48" s="2"/>
      <c r="L48" s="5"/>
      <c r="M48" s="144"/>
      <c r="N48" s="91">
        <v>0.05</v>
      </c>
      <c r="O48" s="7">
        <v>1</v>
      </c>
      <c r="P48" s="94">
        <f t="shared" si="8"/>
        <v>0.05</v>
      </c>
      <c r="Q48" s="115" t="s">
        <v>71</v>
      </c>
      <c r="R48" s="121">
        <f>SUM(U34:U51)</f>
        <v>20.69</v>
      </c>
      <c r="S48" s="40"/>
      <c r="T48" s="41"/>
      <c r="U48" s="44"/>
      <c r="V48" s="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</row>
    <row r="49" spans="1:55" ht="15" customHeight="1" x14ac:dyDescent="0.25">
      <c r="A49" s="1"/>
      <c r="B49" s="2"/>
      <c r="C49" s="133"/>
      <c r="D49" s="17"/>
      <c r="E49" s="2"/>
      <c r="F49" s="2"/>
      <c r="G49" s="2"/>
      <c r="H49" s="3"/>
      <c r="I49" s="3"/>
      <c r="J49" s="3"/>
      <c r="K49" s="2"/>
      <c r="L49" s="5"/>
      <c r="M49" s="144"/>
      <c r="N49" s="91">
        <v>0.02</v>
      </c>
      <c r="O49" s="7">
        <v>0</v>
      </c>
      <c r="P49" s="94">
        <f t="shared" si="8"/>
        <v>0</v>
      </c>
      <c r="Q49" s="116" t="s">
        <v>70</v>
      </c>
      <c r="R49" s="122">
        <f>P41+P51+R46</f>
        <v>955.06000000000006</v>
      </c>
      <c r="S49" s="40"/>
      <c r="T49" s="41"/>
      <c r="U49" s="44"/>
      <c r="V49" s="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</row>
    <row r="50" spans="1:55" ht="15" customHeight="1" thickBot="1" x14ac:dyDescent="0.3">
      <c r="A50" s="1"/>
      <c r="B50" s="2"/>
      <c r="C50" s="133"/>
      <c r="D50" s="2"/>
      <c r="E50" s="2"/>
      <c r="F50" s="2"/>
      <c r="G50" s="2"/>
      <c r="H50" s="3"/>
      <c r="I50" s="3"/>
      <c r="J50" s="3"/>
      <c r="K50" s="2"/>
      <c r="L50" s="5"/>
      <c r="M50" s="144"/>
      <c r="N50" s="92">
        <v>0.01</v>
      </c>
      <c r="O50" s="26">
        <v>1</v>
      </c>
      <c r="P50" s="95">
        <f t="shared" si="8"/>
        <v>0.01</v>
      </c>
      <c r="Q50" s="117" t="s">
        <v>59</v>
      </c>
      <c r="R50" s="123">
        <f>R49-R48</f>
        <v>934.37</v>
      </c>
      <c r="S50" s="40"/>
      <c r="T50" s="41"/>
      <c r="U50" s="44"/>
      <c r="V50" s="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</row>
    <row r="51" spans="1:55" ht="15" customHeight="1" thickBot="1" x14ac:dyDescent="0.3">
      <c r="A51" s="1"/>
      <c r="B51" s="2"/>
      <c r="C51" s="133"/>
      <c r="D51" s="2"/>
      <c r="E51" s="2"/>
      <c r="F51" s="2"/>
      <c r="G51" s="2"/>
      <c r="H51" s="3"/>
      <c r="I51" s="3"/>
      <c r="J51" s="3"/>
      <c r="K51" s="2"/>
      <c r="L51" s="5"/>
      <c r="M51" s="144"/>
      <c r="N51" s="269"/>
      <c r="O51" s="270"/>
      <c r="P51" s="118">
        <f>SUM(P43:P50)</f>
        <v>3.36</v>
      </c>
      <c r="Q51" s="125" t="s">
        <v>60</v>
      </c>
      <c r="R51" s="126">
        <f>R49/9</f>
        <v>106.11777777777779</v>
      </c>
      <c r="S51" s="46"/>
      <c r="T51" s="47"/>
      <c r="U51" s="48"/>
      <c r="V51" s="49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</row>
    <row r="52" spans="1:55" ht="15" customHeight="1" x14ac:dyDescent="0.25">
      <c r="A52" s="1"/>
      <c r="B52" s="2"/>
      <c r="C52" s="133"/>
      <c r="D52" s="2"/>
      <c r="E52" s="2"/>
      <c r="F52" s="2"/>
      <c r="G52" s="2"/>
      <c r="H52" s="3"/>
      <c r="I52" s="8"/>
      <c r="J52" s="3"/>
      <c r="K52" s="4"/>
      <c r="L52" s="5"/>
      <c r="M52" s="144"/>
      <c r="N52" s="143"/>
      <c r="O52" s="143" t="s">
        <v>45</v>
      </c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</row>
    <row r="53" spans="1:55" ht="15" customHeight="1" x14ac:dyDescent="0.25">
      <c r="A53" s="1"/>
      <c r="B53" s="2"/>
      <c r="C53" s="133"/>
      <c r="D53" s="2"/>
      <c r="E53" s="18"/>
      <c r="F53" s="2"/>
      <c r="G53" s="2"/>
      <c r="H53" s="3"/>
      <c r="I53" s="3"/>
      <c r="J53" s="3"/>
      <c r="K53" s="4"/>
      <c r="L53" s="5"/>
      <c r="M53" s="144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</row>
    <row r="54" spans="1:55" ht="15" customHeight="1" x14ac:dyDescent="0.25">
      <c r="A54" s="1"/>
      <c r="B54" s="2"/>
      <c r="C54" s="133"/>
      <c r="D54" s="2"/>
      <c r="E54" s="2"/>
      <c r="F54" s="2"/>
      <c r="G54" s="2"/>
      <c r="H54" s="3"/>
      <c r="I54" s="3"/>
      <c r="J54" s="3"/>
      <c r="K54" s="2"/>
      <c r="L54" s="5"/>
      <c r="M54" s="144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</row>
    <row r="55" spans="1:55" ht="15" customHeight="1" x14ac:dyDescent="0.25">
      <c r="A55" s="1"/>
      <c r="B55" s="2"/>
      <c r="C55" s="133"/>
      <c r="D55" s="2"/>
      <c r="E55" s="2"/>
      <c r="F55" s="2"/>
      <c r="G55" s="2"/>
      <c r="H55" s="3"/>
      <c r="I55" s="3"/>
      <c r="J55" s="3"/>
      <c r="K55" s="2"/>
      <c r="L55" s="5"/>
      <c r="M55" s="144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</row>
    <row r="56" spans="1:55" ht="15" customHeight="1" x14ac:dyDescent="0.25">
      <c r="A56" s="1"/>
      <c r="B56" s="2"/>
      <c r="C56" s="133"/>
      <c r="D56" s="2"/>
      <c r="E56" s="2"/>
      <c r="F56" s="2"/>
      <c r="G56" s="2"/>
      <c r="H56" s="3"/>
      <c r="I56" s="3"/>
      <c r="J56" s="3"/>
      <c r="K56" s="2"/>
      <c r="L56" s="5"/>
      <c r="M56" s="144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</row>
    <row r="57" spans="1:55" ht="15" customHeight="1" x14ac:dyDescent="0.25">
      <c r="A57" s="1"/>
      <c r="B57" s="2"/>
      <c r="C57" s="133"/>
      <c r="D57" s="2"/>
      <c r="E57" s="2"/>
      <c r="F57" s="2"/>
      <c r="G57" s="2"/>
      <c r="H57" s="3"/>
      <c r="I57" s="3"/>
      <c r="J57" s="3"/>
      <c r="K57" s="2"/>
      <c r="L57" s="5"/>
      <c r="M57" s="144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3"/>
      <c r="AY57" s="143"/>
      <c r="AZ57" s="143"/>
      <c r="BA57" s="143"/>
      <c r="BB57" s="143"/>
      <c r="BC57" s="143"/>
    </row>
    <row r="58" spans="1:55" ht="15" customHeight="1" x14ac:dyDescent="0.25">
      <c r="A58" s="1"/>
      <c r="B58" s="2"/>
      <c r="C58" s="133"/>
      <c r="D58" s="2"/>
      <c r="E58" s="16"/>
      <c r="F58" s="2"/>
      <c r="G58" s="2"/>
      <c r="H58" s="3"/>
      <c r="I58" s="3"/>
      <c r="J58" s="3"/>
      <c r="K58" s="2"/>
      <c r="L58" s="5"/>
      <c r="M58" s="144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</row>
    <row r="59" spans="1:55" ht="15" customHeight="1" x14ac:dyDescent="0.25">
      <c r="A59" s="1"/>
      <c r="B59" s="2"/>
      <c r="C59" s="133"/>
      <c r="D59" s="2"/>
      <c r="E59" s="16"/>
      <c r="F59" s="2"/>
      <c r="G59" s="2"/>
      <c r="H59" s="3"/>
      <c r="I59" s="8"/>
      <c r="J59" s="3"/>
      <c r="K59" s="4"/>
      <c r="L59" s="5"/>
      <c r="M59" s="144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</row>
    <row r="60" spans="1:55" ht="15" customHeight="1" x14ac:dyDescent="0.25">
      <c r="A60" s="1"/>
      <c r="B60" s="2"/>
      <c r="C60" s="133"/>
      <c r="D60" s="2"/>
      <c r="E60" s="16"/>
      <c r="F60" s="2"/>
      <c r="G60" s="2"/>
      <c r="H60" s="3"/>
      <c r="I60" s="3"/>
      <c r="J60" s="3"/>
      <c r="K60" s="2"/>
      <c r="L60" s="5"/>
      <c r="M60" s="144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</row>
    <row r="61" spans="1:55" ht="15" customHeight="1" x14ac:dyDescent="0.25">
      <c r="A61" s="1"/>
      <c r="B61" s="2"/>
      <c r="C61" s="133"/>
      <c r="D61" s="2"/>
      <c r="E61" s="18"/>
      <c r="F61" s="2"/>
      <c r="G61" s="2"/>
      <c r="H61" s="3"/>
      <c r="I61" s="8"/>
      <c r="J61" s="3"/>
      <c r="K61" s="4"/>
      <c r="L61" s="5"/>
      <c r="M61" s="144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</row>
    <row r="62" spans="1:55" ht="15" customHeight="1" x14ac:dyDescent="0.25">
      <c r="A62" s="1"/>
      <c r="B62" s="2"/>
      <c r="C62" s="133"/>
      <c r="D62" s="2"/>
      <c r="E62" s="16"/>
      <c r="F62" s="2"/>
      <c r="G62" s="2"/>
      <c r="H62" s="3"/>
      <c r="I62" s="8"/>
      <c r="J62" s="3"/>
      <c r="K62" s="4"/>
      <c r="L62" s="5"/>
      <c r="M62" s="144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</row>
    <row r="63" spans="1:55" ht="15" customHeight="1" x14ac:dyDescent="0.25">
      <c r="A63" s="1"/>
      <c r="B63" s="2"/>
      <c r="C63" s="133"/>
      <c r="D63" s="2"/>
      <c r="E63" s="16"/>
      <c r="F63" s="2"/>
      <c r="G63" s="2"/>
      <c r="H63" s="3"/>
      <c r="I63" s="3"/>
      <c r="J63" s="3"/>
      <c r="K63" s="4"/>
      <c r="L63" s="5"/>
      <c r="M63" s="144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</row>
    <row r="64" spans="1:55" ht="15" customHeight="1" x14ac:dyDescent="0.25">
      <c r="A64" s="1"/>
      <c r="B64" s="2"/>
      <c r="C64" s="133"/>
      <c r="D64" s="2"/>
      <c r="E64" s="16"/>
      <c r="F64" s="2"/>
      <c r="G64" s="2"/>
      <c r="H64" s="3"/>
      <c r="I64" s="3"/>
      <c r="J64" s="3"/>
      <c r="K64" s="4"/>
      <c r="L64" s="5"/>
      <c r="M64" s="144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</row>
    <row r="65" spans="1:55" ht="15" customHeight="1" x14ac:dyDescent="0.25">
      <c r="A65" s="1"/>
      <c r="B65" s="2"/>
      <c r="C65" s="133"/>
      <c r="D65" s="2"/>
      <c r="E65" s="18"/>
      <c r="F65" s="2"/>
      <c r="G65" s="2"/>
      <c r="H65" s="3"/>
      <c r="I65" s="3"/>
      <c r="J65" s="3"/>
      <c r="K65" s="4"/>
      <c r="L65" s="5"/>
      <c r="M65" s="144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</row>
    <row r="66" spans="1:55" ht="15" customHeight="1" x14ac:dyDescent="0.25">
      <c r="A66" s="1"/>
      <c r="B66" s="2"/>
      <c r="C66" s="133"/>
      <c r="D66" s="2"/>
      <c r="E66" s="16"/>
      <c r="F66" s="2"/>
      <c r="G66" s="2"/>
      <c r="H66" s="3"/>
      <c r="I66" s="8"/>
      <c r="J66" s="3"/>
      <c r="K66" s="4"/>
      <c r="L66" s="5"/>
      <c r="M66" s="144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3"/>
      <c r="AY66" s="143"/>
      <c r="AZ66" s="143"/>
      <c r="BA66" s="143"/>
      <c r="BB66" s="143"/>
      <c r="BC66" s="143"/>
    </row>
    <row r="67" spans="1:55" ht="15" customHeight="1" x14ac:dyDescent="0.25">
      <c r="A67" s="1"/>
      <c r="B67" s="2"/>
      <c r="C67" s="133"/>
      <c r="D67" s="2"/>
      <c r="E67" s="9"/>
      <c r="F67" s="2"/>
      <c r="G67" s="2"/>
      <c r="H67" s="3"/>
      <c r="I67" s="3"/>
      <c r="J67" s="3"/>
      <c r="K67" s="4"/>
      <c r="L67" s="5"/>
      <c r="M67" s="144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</row>
    <row r="68" spans="1:55" ht="15" customHeight="1" x14ac:dyDescent="0.25">
      <c r="A68" s="1"/>
      <c r="B68" s="2"/>
      <c r="C68" s="133"/>
      <c r="D68" s="2"/>
      <c r="E68" s="21"/>
      <c r="F68" s="2"/>
      <c r="G68" s="2"/>
      <c r="H68" s="3"/>
      <c r="I68" s="8"/>
      <c r="J68" s="3"/>
      <c r="K68" s="4"/>
      <c r="L68" s="5"/>
      <c r="M68" s="144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</row>
    <row r="69" spans="1:55" ht="15" customHeight="1" x14ac:dyDescent="0.25">
      <c r="A69" s="1"/>
      <c r="B69" s="2"/>
      <c r="C69" s="133"/>
      <c r="D69" s="2"/>
      <c r="E69" s="21"/>
      <c r="F69" s="2"/>
      <c r="G69" s="2"/>
      <c r="H69" s="3"/>
      <c r="I69" s="8"/>
      <c r="J69" s="3"/>
      <c r="K69" s="4"/>
      <c r="L69" s="5"/>
      <c r="M69" s="144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</row>
    <row r="70" spans="1:55" ht="15" customHeight="1" x14ac:dyDescent="0.25">
      <c r="A70" s="1"/>
      <c r="B70" s="2"/>
      <c r="C70" s="133"/>
      <c r="D70" s="2"/>
      <c r="E70" s="21"/>
      <c r="F70" s="2"/>
      <c r="G70" s="2"/>
      <c r="H70" s="3"/>
      <c r="I70" s="8"/>
      <c r="J70" s="3"/>
      <c r="K70" s="4"/>
      <c r="L70" s="5"/>
      <c r="M70" s="144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</row>
    <row r="71" spans="1:55" ht="15" customHeight="1" x14ac:dyDescent="0.25">
      <c r="A71" s="1"/>
      <c r="B71" s="2"/>
      <c r="C71" s="133"/>
      <c r="D71" s="2"/>
      <c r="E71" s="2"/>
      <c r="F71" s="2"/>
      <c r="G71" s="2"/>
      <c r="H71" s="3"/>
      <c r="I71" s="3"/>
      <c r="J71" s="3"/>
      <c r="K71" s="4"/>
      <c r="L71" s="5"/>
      <c r="M71" s="144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</row>
    <row r="72" spans="1:55" ht="15" customHeight="1" x14ac:dyDescent="0.25">
      <c r="A72" s="1"/>
      <c r="B72" s="2"/>
      <c r="C72" s="133"/>
      <c r="D72" s="2"/>
      <c r="E72" s="2"/>
      <c r="F72" s="2"/>
      <c r="G72" s="2"/>
      <c r="H72" s="3"/>
      <c r="I72" s="3"/>
      <c r="J72" s="3"/>
      <c r="K72" s="4"/>
      <c r="L72" s="5"/>
      <c r="M72" s="144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</row>
    <row r="73" spans="1:55" ht="15" customHeight="1" x14ac:dyDescent="0.25">
      <c r="A73" s="1"/>
      <c r="B73" s="2"/>
      <c r="C73" s="133"/>
      <c r="D73" s="2"/>
      <c r="E73" s="2"/>
      <c r="F73" s="2"/>
      <c r="G73" s="2"/>
      <c r="H73" s="3"/>
      <c r="I73" s="3"/>
      <c r="J73" s="3"/>
      <c r="K73" s="2"/>
      <c r="L73" s="5"/>
      <c r="M73" s="144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</row>
    <row r="74" spans="1:55" ht="15" customHeight="1" x14ac:dyDescent="0.25">
      <c r="A74" s="1"/>
      <c r="B74" s="2"/>
      <c r="C74" s="133"/>
      <c r="D74" s="2"/>
      <c r="E74" s="2"/>
      <c r="F74" s="2"/>
      <c r="G74" s="2"/>
      <c r="H74" s="3"/>
      <c r="I74" s="3"/>
      <c r="J74" s="3"/>
      <c r="K74" s="2"/>
      <c r="L74" s="5"/>
      <c r="M74" s="144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</row>
    <row r="75" spans="1:55" ht="15" customHeight="1" x14ac:dyDescent="0.25">
      <c r="A75" s="1"/>
      <c r="B75" s="2"/>
      <c r="C75" s="133"/>
      <c r="D75" s="2"/>
      <c r="E75" s="21"/>
      <c r="F75" s="2"/>
      <c r="G75" s="2"/>
      <c r="H75" s="3"/>
      <c r="I75" s="8"/>
      <c r="J75" s="3"/>
      <c r="K75" s="4"/>
      <c r="L75" s="5"/>
      <c r="M75" s="144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</row>
    <row r="76" spans="1:55" ht="15" customHeight="1" x14ac:dyDescent="0.25">
      <c r="A76" s="1"/>
      <c r="B76" s="2"/>
      <c r="C76" s="133"/>
      <c r="D76" s="165"/>
      <c r="E76" s="22"/>
      <c r="F76" s="2"/>
      <c r="G76" s="2"/>
      <c r="H76" s="3"/>
      <c r="I76" s="8"/>
      <c r="J76" s="3"/>
      <c r="K76" s="4"/>
      <c r="L76" s="5"/>
      <c r="M76" s="144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</row>
    <row r="77" spans="1:55" ht="15" customHeight="1" x14ac:dyDescent="0.25">
      <c r="A77" s="1"/>
      <c r="B77" s="2"/>
      <c r="C77" s="133"/>
      <c r="D77" s="2"/>
      <c r="E77" s="21"/>
      <c r="F77" s="2"/>
      <c r="G77" s="2"/>
      <c r="H77" s="3"/>
      <c r="I77" s="8"/>
      <c r="J77" s="3"/>
      <c r="K77" s="4"/>
      <c r="L77" s="5"/>
      <c r="M77" s="144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</row>
    <row r="78" spans="1:55" ht="15" customHeight="1" x14ac:dyDescent="0.25">
      <c r="A78" s="1"/>
      <c r="B78" s="2"/>
      <c r="C78" s="133"/>
      <c r="D78" s="2"/>
      <c r="E78" s="2"/>
      <c r="F78" s="2"/>
      <c r="G78" s="2"/>
      <c r="H78" s="3"/>
      <c r="I78" s="3"/>
      <c r="J78" s="2"/>
      <c r="K78" s="4"/>
      <c r="L78" s="5"/>
      <c r="M78" s="144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</row>
    <row r="79" spans="1:55" ht="15" customHeight="1" x14ac:dyDescent="0.25">
      <c r="A79" s="1"/>
      <c r="B79" s="2"/>
      <c r="C79" s="133"/>
      <c r="D79" s="2"/>
      <c r="E79" s="21"/>
      <c r="F79" s="2"/>
      <c r="G79" s="2"/>
      <c r="H79" s="3"/>
      <c r="I79" s="8"/>
      <c r="J79" s="3"/>
      <c r="K79" s="4"/>
      <c r="L79" s="5"/>
      <c r="M79" s="144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</row>
    <row r="80" spans="1:55" ht="15" customHeight="1" x14ac:dyDescent="0.25">
      <c r="A80" s="1"/>
      <c r="B80" s="2"/>
      <c r="C80" s="133"/>
      <c r="D80" s="2"/>
      <c r="E80" s="21"/>
      <c r="F80" s="2"/>
      <c r="G80" s="2"/>
      <c r="H80" s="3"/>
      <c r="I80" s="8"/>
      <c r="J80" s="3"/>
      <c r="K80" s="4"/>
      <c r="L80" s="5"/>
      <c r="M80" s="144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</row>
    <row r="81" spans="1:55" ht="15" customHeight="1" x14ac:dyDescent="0.25">
      <c r="A81" s="1"/>
      <c r="B81" s="2"/>
      <c r="C81" s="133"/>
      <c r="D81" s="2"/>
      <c r="E81" s="21"/>
      <c r="F81" s="2"/>
      <c r="G81" s="2"/>
      <c r="H81" s="3"/>
      <c r="I81" s="8"/>
      <c r="J81" s="3"/>
      <c r="K81" s="4"/>
      <c r="L81" s="5"/>
      <c r="M81" s="144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</row>
    <row r="82" spans="1:55" ht="15" customHeight="1" x14ac:dyDescent="0.25">
      <c r="A82" s="1"/>
      <c r="B82" s="2"/>
      <c r="C82" s="133"/>
      <c r="D82" s="2"/>
      <c r="E82" s="21"/>
      <c r="F82" s="2"/>
      <c r="G82" s="2"/>
      <c r="H82" s="3"/>
      <c r="I82" s="8"/>
      <c r="J82" s="3"/>
      <c r="K82" s="4"/>
      <c r="L82" s="5"/>
      <c r="M82" s="144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</row>
    <row r="83" spans="1:55" ht="15" customHeight="1" x14ac:dyDescent="0.25">
      <c r="A83" s="1"/>
      <c r="B83" s="2"/>
      <c r="C83" s="133"/>
      <c r="D83" s="2"/>
      <c r="E83" s="2"/>
      <c r="F83" s="2"/>
      <c r="G83" s="2"/>
      <c r="H83" s="3"/>
      <c r="I83" s="3"/>
      <c r="J83" s="3"/>
      <c r="K83" s="4"/>
      <c r="L83" s="5"/>
      <c r="M83" s="144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</row>
    <row r="84" spans="1:55" ht="15" customHeight="1" x14ac:dyDescent="0.25">
      <c r="A84" s="1"/>
      <c r="B84" s="2"/>
      <c r="C84" s="133"/>
      <c r="D84" s="2"/>
      <c r="E84" s="2"/>
      <c r="F84" s="2"/>
      <c r="G84" s="2"/>
      <c r="H84" s="3"/>
      <c r="I84" s="8"/>
      <c r="J84" s="3"/>
      <c r="K84" s="4"/>
      <c r="L84" s="5"/>
      <c r="M84" s="144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</row>
    <row r="85" spans="1:55" ht="15" customHeight="1" x14ac:dyDescent="0.25">
      <c r="A85" s="1"/>
      <c r="B85" s="2"/>
      <c r="C85" s="133"/>
      <c r="D85" s="2"/>
      <c r="E85" s="2"/>
      <c r="F85" s="2"/>
      <c r="G85" s="2"/>
      <c r="H85" s="3"/>
      <c r="I85" s="8"/>
      <c r="J85" s="3"/>
      <c r="K85" s="4"/>
      <c r="L85" s="5"/>
      <c r="M85" s="144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</row>
    <row r="86" spans="1:55" ht="15" customHeight="1" x14ac:dyDescent="0.25">
      <c r="A86" s="1"/>
      <c r="B86" s="2"/>
      <c r="C86" s="133"/>
      <c r="D86" s="2"/>
      <c r="E86" s="2"/>
      <c r="F86" s="2"/>
      <c r="G86" s="2"/>
      <c r="H86" s="3"/>
      <c r="I86" s="8"/>
      <c r="J86" s="3"/>
      <c r="K86" s="4"/>
      <c r="L86" s="5"/>
      <c r="M86" s="144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</row>
    <row r="87" spans="1:55" ht="15" customHeight="1" x14ac:dyDescent="0.25">
      <c r="A87" s="1"/>
      <c r="B87" s="2"/>
      <c r="C87" s="133"/>
      <c r="D87" s="2"/>
      <c r="E87" s="9"/>
      <c r="F87" s="2"/>
      <c r="G87" s="2"/>
      <c r="H87" s="3"/>
      <c r="I87" s="8"/>
      <c r="J87" s="3"/>
      <c r="K87" s="4"/>
      <c r="L87" s="5"/>
      <c r="M87" s="144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3"/>
      <c r="AY87" s="143"/>
      <c r="AZ87" s="143"/>
      <c r="BA87" s="143"/>
      <c r="BB87" s="143"/>
      <c r="BC87" s="143"/>
    </row>
    <row r="88" spans="1:55" ht="15" customHeight="1" x14ac:dyDescent="0.25">
      <c r="A88" s="1"/>
      <c r="B88" s="2"/>
      <c r="C88" s="133"/>
      <c r="D88" s="2"/>
      <c r="E88" s="2"/>
      <c r="F88" s="2"/>
      <c r="G88" s="2"/>
      <c r="H88" s="3"/>
      <c r="I88" s="8"/>
      <c r="J88" s="3"/>
      <c r="K88" s="4"/>
      <c r="L88" s="5"/>
      <c r="M88" s="144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3"/>
      <c r="AY88" s="143"/>
      <c r="AZ88" s="143"/>
      <c r="BA88" s="143"/>
      <c r="BB88" s="143"/>
      <c r="BC88" s="143"/>
    </row>
    <row r="89" spans="1:55" ht="15" customHeight="1" x14ac:dyDescent="0.25">
      <c r="A89" s="1"/>
      <c r="B89" s="2"/>
      <c r="C89" s="133"/>
      <c r="D89" s="2"/>
      <c r="E89" s="9"/>
      <c r="F89" s="2"/>
      <c r="G89" s="2"/>
      <c r="H89" s="3"/>
      <c r="I89" s="8"/>
      <c r="J89" s="3"/>
      <c r="K89" s="4"/>
      <c r="L89" s="5"/>
      <c r="M89" s="144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3"/>
      <c r="AY89" s="143"/>
      <c r="AZ89" s="143"/>
      <c r="BA89" s="143"/>
      <c r="BB89" s="143"/>
      <c r="BC89" s="143"/>
    </row>
    <row r="90" spans="1:55" ht="15" customHeight="1" x14ac:dyDescent="0.25">
      <c r="A90" s="1"/>
      <c r="B90" s="165"/>
      <c r="C90" s="133"/>
      <c r="D90" s="2"/>
      <c r="E90" s="21"/>
      <c r="F90" s="2"/>
      <c r="G90" s="2"/>
      <c r="H90" s="3"/>
      <c r="I90" s="8"/>
      <c r="J90" s="3"/>
      <c r="K90" s="4"/>
      <c r="L90" s="5"/>
      <c r="M90" s="144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</row>
    <row r="91" spans="1:55" ht="15" customHeight="1" x14ac:dyDescent="0.25">
      <c r="A91" s="1"/>
      <c r="B91" s="2"/>
      <c r="C91" s="133"/>
      <c r="D91" s="2"/>
      <c r="E91" s="21"/>
      <c r="F91" s="2"/>
      <c r="G91" s="2"/>
      <c r="H91" s="3"/>
      <c r="I91" s="8"/>
      <c r="J91" s="3"/>
      <c r="K91" s="4"/>
      <c r="L91" s="5"/>
      <c r="M91" s="144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</row>
    <row r="92" spans="1:55" ht="15" customHeight="1" x14ac:dyDescent="0.25">
      <c r="A92" s="1"/>
      <c r="B92" s="2"/>
      <c r="C92" s="133"/>
      <c r="D92" s="2"/>
      <c r="E92" s="2"/>
      <c r="F92" s="2"/>
      <c r="G92" s="2"/>
      <c r="H92" s="3"/>
      <c r="I92" s="8"/>
      <c r="J92" s="3"/>
      <c r="K92" s="4"/>
      <c r="L92" s="5"/>
      <c r="M92" s="144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</row>
    <row r="93" spans="1:55" ht="15" customHeight="1" x14ac:dyDescent="0.25">
      <c r="A93" s="1"/>
      <c r="B93" s="2"/>
      <c r="C93" s="133"/>
      <c r="D93" s="2"/>
      <c r="E93" s="2"/>
      <c r="F93" s="2"/>
      <c r="G93" s="2"/>
      <c r="H93" s="3"/>
      <c r="I93" s="8"/>
      <c r="J93" s="3"/>
      <c r="K93" s="4"/>
      <c r="L93" s="5"/>
      <c r="M93" s="144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</row>
    <row r="94" spans="1:55" ht="15" customHeight="1" x14ac:dyDescent="0.25">
      <c r="A94" s="1"/>
      <c r="B94" s="2"/>
      <c r="C94" s="133"/>
      <c r="D94" s="2"/>
      <c r="E94" s="2"/>
      <c r="F94" s="2"/>
      <c r="G94" s="2"/>
      <c r="H94" s="3"/>
      <c r="I94" s="8"/>
      <c r="J94" s="3"/>
      <c r="K94" s="4"/>
      <c r="L94" s="5"/>
      <c r="M94" s="144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</row>
    <row r="95" spans="1:55" ht="15" customHeight="1" x14ac:dyDescent="0.25">
      <c r="A95" s="1"/>
      <c r="B95" s="2"/>
      <c r="C95" s="133"/>
      <c r="D95" s="2"/>
      <c r="E95" s="2"/>
      <c r="F95" s="2"/>
      <c r="G95" s="2"/>
      <c r="H95" s="3"/>
      <c r="I95" s="8"/>
      <c r="J95" s="3"/>
      <c r="K95" s="4"/>
      <c r="L95" s="5"/>
      <c r="M95" s="144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</row>
    <row r="96" spans="1:55" ht="15" customHeight="1" x14ac:dyDescent="0.25">
      <c r="A96" s="1"/>
      <c r="B96" s="2"/>
      <c r="C96" s="133"/>
      <c r="D96" s="2"/>
      <c r="E96" s="2"/>
      <c r="F96" s="2"/>
      <c r="G96" s="2"/>
      <c r="H96" s="3"/>
      <c r="I96" s="8"/>
      <c r="J96" s="3"/>
      <c r="K96" s="4"/>
      <c r="L96" s="5"/>
      <c r="M96" s="144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</row>
    <row r="97" spans="1:55" ht="15" customHeight="1" x14ac:dyDescent="0.25">
      <c r="A97" s="1"/>
      <c r="B97" s="2"/>
      <c r="C97" s="133"/>
      <c r="D97" s="2"/>
      <c r="E97" s="2"/>
      <c r="F97" s="2"/>
      <c r="G97" s="2"/>
      <c r="H97" s="3"/>
      <c r="I97" s="8"/>
      <c r="J97" s="3"/>
      <c r="K97" s="4"/>
      <c r="L97" s="5"/>
      <c r="M97" s="144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</row>
    <row r="98" spans="1:55" ht="15" customHeight="1" x14ac:dyDescent="0.25">
      <c r="A98" s="1"/>
      <c r="B98" s="2"/>
      <c r="C98" s="133"/>
      <c r="D98" s="2"/>
      <c r="E98" s="2"/>
      <c r="F98" s="2"/>
      <c r="G98" s="2"/>
      <c r="H98" s="3"/>
      <c r="I98" s="8"/>
      <c r="J98" s="3"/>
      <c r="K98" s="4"/>
      <c r="L98" s="5"/>
      <c r="M98" s="144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</row>
    <row r="99" spans="1:55" ht="15" customHeight="1" x14ac:dyDescent="0.25">
      <c r="A99" s="1"/>
      <c r="B99" s="2"/>
      <c r="C99" s="133"/>
      <c r="D99" s="2"/>
      <c r="E99" s="2"/>
      <c r="F99" s="2"/>
      <c r="G99" s="2"/>
      <c r="H99" s="3"/>
      <c r="I99" s="8"/>
      <c r="J99" s="2"/>
      <c r="K99" s="4"/>
      <c r="L99" s="5"/>
      <c r="M99" s="144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</row>
    <row r="100" spans="1:55" ht="15" customHeight="1" x14ac:dyDescent="0.25">
      <c r="A100" s="1"/>
      <c r="B100" s="2"/>
      <c r="C100" s="133"/>
      <c r="D100" s="2"/>
      <c r="E100" s="9"/>
      <c r="F100" s="2"/>
      <c r="G100" s="2"/>
      <c r="H100" s="3"/>
      <c r="I100" s="3"/>
      <c r="J100" s="3"/>
      <c r="K100" s="4"/>
      <c r="L100" s="5"/>
      <c r="M100" s="144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</row>
    <row r="101" spans="1:55" ht="15" customHeight="1" x14ac:dyDescent="0.25">
      <c r="A101" s="1"/>
      <c r="B101" s="2"/>
      <c r="C101" s="133"/>
      <c r="D101" s="2"/>
      <c r="E101" s="2"/>
      <c r="F101" s="2"/>
      <c r="G101" s="2"/>
      <c r="H101" s="3"/>
      <c r="I101" s="8"/>
      <c r="J101" s="3"/>
      <c r="K101" s="4"/>
      <c r="L101" s="5"/>
      <c r="M101" s="144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</row>
    <row r="102" spans="1:55" ht="15" customHeight="1" x14ac:dyDescent="0.25">
      <c r="A102" s="1"/>
      <c r="B102" s="2"/>
      <c r="C102" s="133"/>
      <c r="D102" s="2"/>
      <c r="E102" s="2"/>
      <c r="F102" s="2"/>
      <c r="G102" s="2"/>
      <c r="H102" s="3"/>
      <c r="I102" s="3"/>
      <c r="J102" s="3"/>
      <c r="K102" s="4"/>
      <c r="L102" s="5"/>
      <c r="M102" s="144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</row>
    <row r="103" spans="1:55" ht="15" customHeight="1" x14ac:dyDescent="0.25">
      <c r="A103" s="1"/>
      <c r="B103" s="2"/>
      <c r="C103" s="133"/>
      <c r="D103" s="2"/>
      <c r="E103" s="2"/>
      <c r="F103" s="2"/>
      <c r="G103" s="2"/>
      <c r="H103" s="3"/>
      <c r="I103" s="3"/>
      <c r="J103" s="3"/>
      <c r="K103" s="4"/>
      <c r="L103" s="5"/>
      <c r="M103" s="144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</row>
    <row r="104" spans="1:55" ht="15" customHeight="1" x14ac:dyDescent="0.25">
      <c r="A104" s="1"/>
      <c r="B104" s="2"/>
      <c r="C104" s="133"/>
      <c r="D104" s="2"/>
      <c r="E104" s="2"/>
      <c r="F104" s="2"/>
      <c r="G104" s="2"/>
      <c r="H104" s="3"/>
      <c r="I104" s="3"/>
      <c r="J104" s="3"/>
      <c r="K104" s="4"/>
      <c r="L104" s="5"/>
      <c r="M104" s="144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</row>
    <row r="105" spans="1:55" ht="15" customHeight="1" x14ac:dyDescent="0.25">
      <c r="A105" s="1"/>
      <c r="B105" s="2"/>
      <c r="C105" s="133"/>
      <c r="D105" s="2"/>
      <c r="E105" s="2"/>
      <c r="F105" s="2"/>
      <c r="G105" s="2"/>
      <c r="H105" s="3"/>
      <c r="I105" s="3"/>
      <c r="J105" s="3"/>
      <c r="K105" s="4"/>
      <c r="L105" s="5"/>
      <c r="M105" s="144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</row>
    <row r="106" spans="1:55" ht="15" customHeight="1" x14ac:dyDescent="0.25">
      <c r="A106" s="1"/>
      <c r="B106" s="2"/>
      <c r="C106" s="133"/>
      <c r="D106" s="2"/>
      <c r="E106" s="2"/>
      <c r="F106" s="2"/>
      <c r="G106" s="2"/>
      <c r="H106" s="3"/>
      <c r="I106" s="3"/>
      <c r="J106" s="3"/>
      <c r="K106" s="4"/>
      <c r="L106" s="5"/>
      <c r="M106" s="144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</row>
    <row r="107" spans="1:55" ht="15" customHeight="1" x14ac:dyDescent="0.25">
      <c r="A107" s="1"/>
      <c r="B107" s="2"/>
      <c r="C107" s="133"/>
      <c r="D107" s="2"/>
      <c r="E107" s="2"/>
      <c r="F107" s="2"/>
      <c r="G107" s="2"/>
      <c r="H107" s="3"/>
      <c r="I107" s="3"/>
      <c r="J107" s="3"/>
      <c r="K107" s="4"/>
      <c r="L107" s="5"/>
      <c r="M107" s="144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</row>
    <row r="108" spans="1:55" ht="15" customHeight="1" x14ac:dyDescent="0.25">
      <c r="A108" s="1"/>
      <c r="B108" s="2"/>
      <c r="C108" s="133"/>
      <c r="D108" s="2"/>
      <c r="E108" s="2"/>
      <c r="F108" s="2"/>
      <c r="G108" s="2"/>
      <c r="H108" s="3"/>
      <c r="I108" s="3"/>
      <c r="J108" s="3"/>
      <c r="K108" s="4"/>
      <c r="L108" s="5"/>
      <c r="M108" s="144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</row>
    <row r="109" spans="1:55" ht="15" customHeight="1" x14ac:dyDescent="0.25">
      <c r="A109" s="1"/>
      <c r="B109" s="2"/>
      <c r="C109" s="133"/>
      <c r="D109" s="2"/>
      <c r="E109" s="9"/>
      <c r="F109" s="2"/>
      <c r="G109" s="2"/>
      <c r="H109" s="3"/>
      <c r="I109" s="3"/>
      <c r="J109" s="3"/>
      <c r="K109" s="4"/>
      <c r="L109" s="5"/>
      <c r="M109" s="144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</row>
    <row r="110" spans="1:55" ht="15" customHeight="1" x14ac:dyDescent="0.25">
      <c r="A110" s="1"/>
      <c r="B110" s="2"/>
      <c r="C110" s="133"/>
      <c r="D110" s="2"/>
      <c r="E110" s="9"/>
      <c r="F110" s="2"/>
      <c r="G110" s="2"/>
      <c r="H110" s="3"/>
      <c r="I110" s="3"/>
      <c r="J110" s="3"/>
      <c r="K110" s="4"/>
      <c r="L110" s="5"/>
      <c r="M110" s="144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</row>
    <row r="111" spans="1:55" ht="15" customHeight="1" x14ac:dyDescent="0.25">
      <c r="A111" s="1"/>
      <c r="B111" s="2"/>
      <c r="C111" s="133"/>
      <c r="D111" s="2"/>
      <c r="E111" s="2"/>
      <c r="F111" s="2"/>
      <c r="G111" s="2"/>
      <c r="H111" s="3"/>
      <c r="I111" s="3"/>
      <c r="J111" s="3"/>
      <c r="K111" s="4"/>
      <c r="L111" s="5"/>
      <c r="M111" s="144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</row>
    <row r="112" spans="1:55" ht="15" customHeight="1" x14ac:dyDescent="0.25">
      <c r="A112" s="1"/>
      <c r="B112" s="2"/>
      <c r="C112" s="133"/>
      <c r="D112" s="2"/>
      <c r="E112" s="2"/>
      <c r="F112" s="2"/>
      <c r="G112" s="2"/>
      <c r="H112" s="3"/>
      <c r="I112" s="3"/>
      <c r="J112" s="3"/>
      <c r="K112" s="4"/>
      <c r="L112" s="5"/>
      <c r="M112" s="144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</row>
    <row r="113" spans="1:55" ht="15" customHeight="1" x14ac:dyDescent="0.25">
      <c r="A113" s="1"/>
      <c r="B113" s="2"/>
      <c r="C113" s="133"/>
      <c r="D113" s="2"/>
      <c r="E113" s="2"/>
      <c r="F113" s="2"/>
      <c r="G113" s="2"/>
      <c r="H113" s="3"/>
      <c r="I113" s="3"/>
      <c r="J113" s="3"/>
      <c r="K113" s="4"/>
      <c r="L113" s="5"/>
      <c r="M113" s="144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</row>
    <row r="114" spans="1:55" ht="15" customHeight="1" x14ac:dyDescent="0.25">
      <c r="A114" s="1"/>
      <c r="B114" s="2"/>
      <c r="C114" s="133"/>
      <c r="D114" s="2"/>
      <c r="E114" s="2"/>
      <c r="F114" s="2"/>
      <c r="G114" s="2"/>
      <c r="H114" s="3"/>
      <c r="I114" s="3"/>
      <c r="J114" s="3"/>
      <c r="K114" s="4"/>
      <c r="L114" s="5"/>
      <c r="M114" s="144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</row>
    <row r="115" spans="1:55" ht="15" customHeight="1" x14ac:dyDescent="0.25">
      <c r="A115" s="1"/>
      <c r="B115" s="2"/>
      <c r="C115" s="133"/>
      <c r="D115" s="2"/>
      <c r="E115" s="2"/>
      <c r="F115" s="2"/>
      <c r="G115" s="2"/>
      <c r="H115" s="3"/>
      <c r="I115" s="3"/>
      <c r="J115" s="3"/>
      <c r="K115" s="4"/>
      <c r="L115" s="5"/>
      <c r="M115" s="144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</row>
    <row r="116" spans="1:55" ht="15" customHeight="1" x14ac:dyDescent="0.25">
      <c r="A116" s="1"/>
      <c r="B116" s="2"/>
      <c r="C116" s="133"/>
      <c r="D116" s="2"/>
      <c r="E116" s="2"/>
      <c r="F116" s="2"/>
      <c r="G116" s="2"/>
      <c r="H116" s="3"/>
      <c r="I116" s="3"/>
      <c r="J116" s="3"/>
      <c r="K116" s="4"/>
      <c r="L116" s="5"/>
      <c r="M116" s="144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</row>
    <row r="117" spans="1:55" ht="15" customHeight="1" x14ac:dyDescent="0.25">
      <c r="A117" s="1"/>
      <c r="B117" s="2"/>
      <c r="C117" s="133"/>
      <c r="D117" s="2"/>
      <c r="E117" s="2"/>
      <c r="F117" s="2"/>
      <c r="G117" s="2"/>
      <c r="H117" s="3"/>
      <c r="I117" s="3"/>
      <c r="J117" s="3"/>
      <c r="K117" s="4"/>
      <c r="L117" s="5"/>
      <c r="M117" s="144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</row>
    <row r="118" spans="1:55" ht="15" customHeight="1" x14ac:dyDescent="0.25">
      <c r="A118" s="1"/>
      <c r="B118" s="2"/>
      <c r="C118" s="133"/>
      <c r="D118" s="2"/>
      <c r="E118" s="2"/>
      <c r="F118" s="2"/>
      <c r="G118" s="2"/>
      <c r="H118" s="3"/>
      <c r="I118" s="8"/>
      <c r="J118" s="3"/>
      <c r="K118" s="4"/>
      <c r="L118" s="5"/>
      <c r="M118" s="144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</row>
    <row r="119" spans="1:55" ht="15" customHeight="1" x14ac:dyDescent="0.25">
      <c r="A119" s="1"/>
      <c r="B119" s="2"/>
      <c r="C119" s="133"/>
      <c r="D119" s="2"/>
      <c r="E119" s="2"/>
      <c r="F119" s="2"/>
      <c r="G119" s="2"/>
      <c r="H119" s="3"/>
      <c r="I119" s="3"/>
      <c r="J119" s="3"/>
      <c r="K119" s="4"/>
      <c r="L119" s="5"/>
      <c r="M119" s="144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</row>
    <row r="120" spans="1:55" ht="15" customHeight="1" x14ac:dyDescent="0.25">
      <c r="A120" s="1"/>
      <c r="B120" s="2"/>
      <c r="C120" s="133"/>
      <c r="D120" s="2"/>
      <c r="E120" s="2"/>
      <c r="F120" s="2"/>
      <c r="G120" s="2"/>
      <c r="H120" s="3"/>
      <c r="I120" s="3"/>
      <c r="J120" s="3"/>
      <c r="K120" s="4"/>
      <c r="L120" s="5"/>
      <c r="M120" s="144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</row>
    <row r="121" spans="1:55" ht="15" customHeight="1" x14ac:dyDescent="0.25">
      <c r="A121" s="1"/>
      <c r="B121" s="2"/>
      <c r="C121" s="133"/>
      <c r="D121" s="2"/>
      <c r="E121" s="2"/>
      <c r="F121" s="2"/>
      <c r="G121" s="2"/>
      <c r="H121" s="3"/>
      <c r="I121" s="3"/>
      <c r="J121" s="3"/>
      <c r="K121" s="4"/>
      <c r="L121" s="5"/>
      <c r="M121" s="144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</row>
    <row r="122" spans="1:55" ht="15" customHeight="1" x14ac:dyDescent="0.25">
      <c r="A122" s="1"/>
      <c r="B122" s="2"/>
      <c r="C122" s="133"/>
      <c r="D122" s="2"/>
      <c r="E122" s="2"/>
      <c r="F122" s="2"/>
      <c r="G122" s="2"/>
      <c r="H122" s="3"/>
      <c r="I122" s="3"/>
      <c r="J122" s="3"/>
      <c r="K122" s="4"/>
      <c r="L122" s="5"/>
      <c r="M122" s="144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</row>
    <row r="123" spans="1:55" ht="15" customHeight="1" x14ac:dyDescent="0.25">
      <c r="A123" s="1"/>
      <c r="B123" s="2"/>
      <c r="C123" s="133"/>
      <c r="D123" s="2"/>
      <c r="E123" s="2"/>
      <c r="F123" s="2"/>
      <c r="G123" s="2"/>
      <c r="H123" s="3"/>
      <c r="I123" s="3"/>
      <c r="J123" s="3"/>
      <c r="K123" s="4"/>
      <c r="L123" s="5"/>
      <c r="M123" s="144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</row>
    <row r="124" spans="1:55" x14ac:dyDescent="0.25">
      <c r="A124" s="1"/>
      <c r="B124" s="2"/>
      <c r="C124" s="133"/>
      <c r="D124" s="2"/>
      <c r="E124" s="2"/>
      <c r="F124" s="2"/>
      <c r="G124" s="2"/>
      <c r="H124" s="3"/>
      <c r="I124" s="3"/>
      <c r="J124" s="3"/>
      <c r="K124" s="4"/>
      <c r="L124" s="5"/>
      <c r="M124" s="144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</row>
    <row r="125" spans="1:55" x14ac:dyDescent="0.25">
      <c r="A125" s="1"/>
      <c r="B125" s="2"/>
      <c r="C125" s="133"/>
      <c r="D125" s="2"/>
      <c r="E125" s="2"/>
      <c r="F125" s="2"/>
      <c r="G125" s="2"/>
      <c r="H125" s="3"/>
      <c r="I125" s="3"/>
      <c r="J125" s="3"/>
      <c r="K125" s="4"/>
      <c r="L125" s="5"/>
      <c r="M125" s="144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</row>
    <row r="126" spans="1:55" ht="15" customHeight="1" x14ac:dyDescent="0.25">
      <c r="A126" s="1"/>
      <c r="B126" s="2"/>
      <c r="C126" s="133"/>
      <c r="D126" s="2"/>
      <c r="E126" s="2"/>
      <c r="F126" s="2"/>
      <c r="G126" s="2"/>
      <c r="H126" s="3"/>
      <c r="I126" s="3"/>
      <c r="J126" s="3"/>
      <c r="K126" s="4"/>
      <c r="L126" s="5"/>
      <c r="M126" s="144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</row>
    <row r="127" spans="1:55" ht="15" customHeight="1" x14ac:dyDescent="0.25">
      <c r="A127" s="1"/>
      <c r="B127" s="2"/>
      <c r="C127" s="133"/>
      <c r="D127" s="2"/>
      <c r="E127" s="2"/>
      <c r="F127" s="2"/>
      <c r="G127" s="2"/>
      <c r="H127" s="3"/>
      <c r="I127" s="3"/>
      <c r="J127" s="3"/>
      <c r="K127" s="4"/>
      <c r="L127" s="5"/>
      <c r="M127" s="144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</row>
    <row r="128" spans="1:55" ht="15" customHeight="1" x14ac:dyDescent="0.25">
      <c r="A128" s="1"/>
      <c r="B128" s="2"/>
      <c r="C128" s="133"/>
      <c r="D128" s="2"/>
      <c r="E128" s="2"/>
      <c r="F128" s="2"/>
      <c r="G128" s="2"/>
      <c r="H128" s="3"/>
      <c r="I128" s="3"/>
      <c r="J128" s="3"/>
      <c r="K128" s="4"/>
      <c r="L128" s="5"/>
      <c r="M128" s="144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</row>
    <row r="129" spans="1:55" ht="15" customHeight="1" x14ac:dyDescent="0.25">
      <c r="A129" s="1"/>
      <c r="B129" s="2"/>
      <c r="C129" s="133"/>
      <c r="D129" s="2"/>
      <c r="E129" s="2"/>
      <c r="F129" s="2"/>
      <c r="G129" s="2"/>
      <c r="H129" s="3"/>
      <c r="I129" s="3"/>
      <c r="J129" s="3"/>
      <c r="K129" s="4"/>
      <c r="L129" s="5"/>
      <c r="M129" s="144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</row>
    <row r="130" spans="1:55" ht="15" customHeight="1" x14ac:dyDescent="0.25">
      <c r="A130" s="1"/>
      <c r="B130" s="10"/>
      <c r="C130" s="133"/>
      <c r="D130" s="10"/>
      <c r="E130" s="10"/>
      <c r="F130" s="10"/>
      <c r="G130" s="10"/>
      <c r="H130" s="8"/>
      <c r="I130" s="8"/>
      <c r="J130" s="3"/>
      <c r="K130" s="4"/>
      <c r="L130" s="5"/>
      <c r="M130" s="144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</row>
    <row r="131" spans="1:55" ht="15" customHeight="1" x14ac:dyDescent="0.25">
      <c r="A131" s="1"/>
      <c r="B131" s="2"/>
      <c r="C131" s="133"/>
      <c r="D131" s="2"/>
      <c r="E131" s="2"/>
      <c r="F131" s="2"/>
      <c r="G131" s="2"/>
      <c r="H131" s="3"/>
      <c r="I131" s="3"/>
      <c r="J131" s="3"/>
      <c r="K131" s="4"/>
      <c r="L131" s="5"/>
      <c r="M131" s="144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43"/>
      <c r="AZ131" s="143"/>
      <c r="BA131" s="143"/>
      <c r="BB131" s="143"/>
      <c r="BC131" s="143"/>
    </row>
    <row r="132" spans="1:55" ht="15" customHeight="1" x14ac:dyDescent="0.25">
      <c r="A132" s="1"/>
      <c r="B132" s="2"/>
      <c r="C132" s="133"/>
      <c r="D132" s="2"/>
      <c r="E132" s="2"/>
      <c r="F132" s="2"/>
      <c r="G132" s="2"/>
      <c r="H132" s="3"/>
      <c r="I132" s="3"/>
      <c r="J132" s="3"/>
      <c r="K132" s="4"/>
      <c r="L132" s="5"/>
      <c r="M132" s="144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</row>
    <row r="133" spans="1:55" ht="15" customHeight="1" x14ac:dyDescent="0.25">
      <c r="A133" s="1"/>
      <c r="B133" s="2"/>
      <c r="C133" s="133"/>
      <c r="D133" s="2"/>
      <c r="E133" s="2"/>
      <c r="F133" s="2"/>
      <c r="G133" s="2"/>
      <c r="H133" s="3"/>
      <c r="I133" s="3"/>
      <c r="J133" s="3"/>
      <c r="K133" s="4"/>
      <c r="L133" s="5"/>
      <c r="M133" s="144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</row>
    <row r="134" spans="1:55" ht="15" customHeight="1" x14ac:dyDescent="0.25">
      <c r="A134" s="1"/>
      <c r="B134" s="2"/>
      <c r="C134" s="133"/>
      <c r="D134" s="2"/>
      <c r="E134" s="2"/>
      <c r="F134" s="2"/>
      <c r="G134" s="2"/>
      <c r="H134" s="3"/>
      <c r="I134" s="3"/>
      <c r="J134" s="3"/>
      <c r="K134" s="4"/>
      <c r="L134" s="5"/>
      <c r="M134" s="144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</row>
    <row r="135" spans="1:55" ht="15" customHeight="1" x14ac:dyDescent="0.25">
      <c r="A135" s="1"/>
      <c r="B135" s="2"/>
      <c r="C135" s="133"/>
      <c r="D135" s="2"/>
      <c r="E135" s="2"/>
      <c r="F135" s="2"/>
      <c r="G135" s="2"/>
      <c r="H135" s="3"/>
      <c r="I135" s="3"/>
      <c r="J135" s="3"/>
      <c r="K135" s="4"/>
      <c r="L135" s="5"/>
      <c r="M135" s="144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</row>
    <row r="136" spans="1:55" ht="15" customHeight="1" x14ac:dyDescent="0.25">
      <c r="A136" s="1"/>
      <c r="B136" s="2"/>
      <c r="C136" s="133"/>
      <c r="D136" s="2"/>
      <c r="E136" s="2"/>
      <c r="F136" s="2"/>
      <c r="G136" s="2"/>
      <c r="H136" s="3"/>
      <c r="I136" s="3"/>
      <c r="J136" s="3"/>
      <c r="K136" s="4"/>
      <c r="L136" s="5"/>
      <c r="M136" s="144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3"/>
      <c r="AY136" s="143"/>
      <c r="AZ136" s="143"/>
      <c r="BA136" s="143"/>
      <c r="BB136" s="143"/>
      <c r="BC136" s="143"/>
    </row>
    <row r="137" spans="1:55" ht="15" customHeight="1" x14ac:dyDescent="0.25">
      <c r="A137" s="1"/>
      <c r="B137" s="2"/>
      <c r="C137" s="133"/>
      <c r="D137" s="2"/>
      <c r="E137" s="2"/>
      <c r="F137" s="2"/>
      <c r="G137" s="2"/>
      <c r="H137" s="3"/>
      <c r="I137" s="3"/>
      <c r="J137" s="3"/>
      <c r="K137" s="4"/>
      <c r="L137" s="5"/>
      <c r="M137" s="144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</row>
    <row r="138" spans="1:55" ht="15" customHeight="1" x14ac:dyDescent="0.25">
      <c r="A138" s="1"/>
      <c r="B138" s="2"/>
      <c r="C138" s="133"/>
      <c r="D138" s="2"/>
      <c r="E138" s="2"/>
      <c r="F138" s="2"/>
      <c r="G138" s="2"/>
      <c r="H138" s="3"/>
      <c r="I138" s="3"/>
      <c r="J138" s="3"/>
      <c r="K138" s="4"/>
      <c r="L138" s="5"/>
      <c r="M138" s="144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</row>
    <row r="139" spans="1:55" ht="15" customHeight="1" x14ac:dyDescent="0.25">
      <c r="A139" s="1"/>
      <c r="B139" s="2"/>
      <c r="C139" s="133"/>
      <c r="D139" s="2"/>
      <c r="E139" s="2"/>
      <c r="F139" s="2"/>
      <c r="G139" s="2"/>
      <c r="H139" s="3"/>
      <c r="I139" s="3"/>
      <c r="J139" s="3"/>
      <c r="K139" s="4"/>
      <c r="L139" s="5"/>
      <c r="M139" s="144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</row>
    <row r="140" spans="1:55" ht="15" customHeight="1" x14ac:dyDescent="0.25">
      <c r="A140" s="1"/>
      <c r="B140" s="2"/>
      <c r="C140" s="133"/>
      <c r="D140" s="2"/>
      <c r="E140" s="2"/>
      <c r="F140" s="2"/>
      <c r="G140" s="2"/>
      <c r="H140" s="3"/>
      <c r="I140" s="3"/>
      <c r="J140" s="3"/>
      <c r="K140" s="4"/>
      <c r="L140" s="5"/>
      <c r="M140" s="144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</row>
    <row r="141" spans="1:55" ht="15" customHeight="1" x14ac:dyDescent="0.25">
      <c r="A141" s="1"/>
      <c r="B141" s="2"/>
      <c r="C141" s="133"/>
      <c r="D141" s="2"/>
      <c r="E141" s="2"/>
      <c r="F141" s="2"/>
      <c r="G141" s="2"/>
      <c r="H141" s="3"/>
      <c r="I141" s="3"/>
      <c r="J141" s="3"/>
      <c r="K141" s="4"/>
      <c r="L141" s="5"/>
      <c r="M141" s="144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</row>
    <row r="142" spans="1:55" ht="15" customHeight="1" x14ac:dyDescent="0.25">
      <c r="A142" s="1"/>
      <c r="B142" s="2"/>
      <c r="C142" s="133"/>
      <c r="D142" s="2"/>
      <c r="E142" s="2"/>
      <c r="F142" s="2"/>
      <c r="G142" s="2"/>
      <c r="H142" s="3"/>
      <c r="I142" s="3"/>
      <c r="J142" s="3"/>
      <c r="K142" s="4"/>
      <c r="L142" s="5"/>
      <c r="M142" s="144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</row>
    <row r="143" spans="1:55" ht="15" customHeight="1" x14ac:dyDescent="0.25">
      <c r="A143" s="1"/>
      <c r="B143" s="2"/>
      <c r="C143" s="133"/>
      <c r="D143" s="2"/>
      <c r="E143" s="2"/>
      <c r="F143" s="2"/>
      <c r="G143" s="2"/>
      <c r="H143" s="3"/>
      <c r="I143" s="3"/>
      <c r="J143" s="3"/>
      <c r="K143" s="4"/>
      <c r="L143" s="5"/>
      <c r="M143" s="144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</row>
    <row r="144" spans="1:55" ht="15" customHeight="1" x14ac:dyDescent="0.25">
      <c r="A144" s="1"/>
      <c r="B144" s="2"/>
      <c r="C144" s="133"/>
      <c r="D144" s="2"/>
      <c r="E144" s="2"/>
      <c r="F144" s="2"/>
      <c r="G144" s="2"/>
      <c r="H144" s="3"/>
      <c r="I144" s="3"/>
      <c r="J144" s="3"/>
      <c r="K144" s="4"/>
      <c r="L144" s="5"/>
      <c r="M144" s="144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</row>
    <row r="145" spans="1:55" ht="15" customHeight="1" x14ac:dyDescent="0.25">
      <c r="A145" s="1"/>
      <c r="B145" s="2"/>
      <c r="C145" s="133"/>
      <c r="D145" s="2"/>
      <c r="E145" s="2"/>
      <c r="F145" s="2"/>
      <c r="G145" s="2"/>
      <c r="H145" s="3"/>
      <c r="I145" s="3"/>
      <c r="J145" s="3"/>
      <c r="K145" s="4"/>
      <c r="L145" s="5"/>
      <c r="M145" s="144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</row>
    <row r="146" spans="1:55" ht="15" customHeight="1" x14ac:dyDescent="0.25">
      <c r="A146" s="1"/>
      <c r="B146" s="2"/>
      <c r="C146" s="133"/>
      <c r="D146" s="2"/>
      <c r="E146" s="2"/>
      <c r="F146" s="2"/>
      <c r="G146" s="2"/>
      <c r="H146" s="3"/>
      <c r="I146" s="3"/>
      <c r="J146" s="3"/>
      <c r="K146" s="4"/>
      <c r="L146" s="5"/>
      <c r="M146" s="144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</row>
    <row r="147" spans="1:55" ht="15" customHeight="1" x14ac:dyDescent="0.25">
      <c r="A147" s="1"/>
      <c r="B147" s="2"/>
      <c r="C147" s="133"/>
      <c r="D147" s="2"/>
      <c r="E147" s="2"/>
      <c r="F147" s="2"/>
      <c r="G147" s="2"/>
      <c r="H147" s="3"/>
      <c r="I147" s="3"/>
      <c r="J147" s="3"/>
      <c r="K147" s="4"/>
      <c r="L147" s="5"/>
      <c r="M147" s="144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</row>
    <row r="148" spans="1:55" ht="15" customHeight="1" x14ac:dyDescent="0.25">
      <c r="A148" s="1"/>
      <c r="B148" s="2"/>
      <c r="C148" s="133"/>
      <c r="D148" s="2"/>
      <c r="E148" s="2"/>
      <c r="F148" s="2"/>
      <c r="G148" s="2"/>
      <c r="H148" s="3"/>
      <c r="I148" s="3"/>
      <c r="J148" s="3"/>
      <c r="K148" s="4"/>
      <c r="L148" s="5"/>
      <c r="M148" s="144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</row>
    <row r="149" spans="1:55" ht="15" customHeight="1" x14ac:dyDescent="0.25">
      <c r="A149" s="1"/>
      <c r="B149" s="2"/>
      <c r="C149" s="133"/>
      <c r="D149" s="2"/>
      <c r="E149" s="2"/>
      <c r="F149" s="2"/>
      <c r="G149" s="2"/>
      <c r="H149" s="3"/>
      <c r="I149" s="3"/>
      <c r="J149" s="3"/>
      <c r="K149" s="4"/>
      <c r="L149" s="5"/>
      <c r="M149" s="144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</row>
    <row r="150" spans="1:55" ht="15" customHeight="1" x14ac:dyDescent="0.25">
      <c r="A150" s="1"/>
      <c r="B150" s="2"/>
      <c r="C150" s="133"/>
      <c r="D150" s="2"/>
      <c r="E150" s="2"/>
      <c r="F150" s="2"/>
      <c r="G150" s="2"/>
      <c r="H150" s="3"/>
      <c r="I150" s="3"/>
      <c r="J150" s="3"/>
      <c r="K150" s="4"/>
      <c r="L150" s="5"/>
      <c r="M150" s="144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</row>
    <row r="151" spans="1:55" ht="15" customHeight="1" x14ac:dyDescent="0.25">
      <c r="A151" s="1"/>
      <c r="B151" s="2"/>
      <c r="C151" s="133"/>
      <c r="D151" s="2"/>
      <c r="E151" s="2"/>
      <c r="F151" s="2"/>
      <c r="G151" s="2"/>
      <c r="H151" s="3"/>
      <c r="I151" s="3"/>
      <c r="J151" s="3"/>
      <c r="K151" s="4"/>
      <c r="L151" s="5"/>
      <c r="M151" s="144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</row>
    <row r="152" spans="1:55" ht="15" customHeight="1" x14ac:dyDescent="0.25">
      <c r="A152" s="1"/>
      <c r="B152" s="2"/>
      <c r="C152" s="133"/>
      <c r="D152" s="2"/>
      <c r="E152" s="2"/>
      <c r="F152" s="2"/>
      <c r="G152" s="2"/>
      <c r="H152" s="3"/>
      <c r="I152" s="3"/>
      <c r="J152" s="3"/>
      <c r="K152" s="4"/>
      <c r="L152" s="5"/>
      <c r="M152" s="144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</row>
    <row r="153" spans="1:55" ht="15" customHeight="1" x14ac:dyDescent="0.25">
      <c r="A153" s="1"/>
      <c r="B153" s="2"/>
      <c r="C153" s="133"/>
      <c r="D153" s="2"/>
      <c r="E153" s="2"/>
      <c r="F153" s="2"/>
      <c r="G153" s="2"/>
      <c r="H153" s="3"/>
      <c r="I153" s="3"/>
      <c r="J153" s="3"/>
      <c r="K153" s="4"/>
      <c r="L153" s="5"/>
      <c r="M153" s="144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</row>
    <row r="154" spans="1:55" ht="15" customHeight="1" x14ac:dyDescent="0.25">
      <c r="A154" s="1"/>
      <c r="B154" s="2"/>
      <c r="C154" s="133"/>
      <c r="D154" s="2"/>
      <c r="E154" s="2"/>
      <c r="F154" s="2"/>
      <c r="G154" s="2"/>
      <c r="H154" s="3"/>
      <c r="I154" s="3"/>
      <c r="J154" s="3"/>
      <c r="K154" s="4"/>
      <c r="L154" s="5"/>
      <c r="M154" s="144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</row>
    <row r="155" spans="1:55" ht="15" customHeight="1" x14ac:dyDescent="0.25">
      <c r="A155" s="1"/>
      <c r="B155" s="2"/>
      <c r="C155" s="133"/>
      <c r="D155" s="2"/>
      <c r="E155" s="2"/>
      <c r="F155" s="2"/>
      <c r="G155" s="2"/>
      <c r="H155" s="3"/>
      <c r="I155" s="3"/>
      <c r="J155" s="3"/>
      <c r="K155" s="4"/>
      <c r="L155" s="5"/>
      <c r="M155" s="144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</row>
    <row r="156" spans="1:55" ht="15" customHeight="1" x14ac:dyDescent="0.25">
      <c r="A156" s="1"/>
      <c r="B156" s="2"/>
      <c r="C156" s="133"/>
      <c r="D156" s="2"/>
      <c r="E156" s="2"/>
      <c r="F156" s="2"/>
      <c r="G156" s="2"/>
      <c r="H156" s="3"/>
      <c r="I156" s="3"/>
      <c r="J156" s="3"/>
      <c r="K156" s="4"/>
      <c r="L156" s="5"/>
      <c r="M156" s="144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</row>
    <row r="157" spans="1:55" ht="15" customHeight="1" x14ac:dyDescent="0.25">
      <c r="A157" s="1"/>
      <c r="B157" s="2"/>
      <c r="C157" s="133"/>
      <c r="D157" s="2"/>
      <c r="E157" s="2"/>
      <c r="F157" s="2"/>
      <c r="G157" s="2"/>
      <c r="H157" s="3"/>
      <c r="I157" s="3"/>
      <c r="J157" s="3"/>
      <c r="K157" s="4"/>
      <c r="L157" s="5"/>
      <c r="M157" s="144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</row>
    <row r="158" spans="1:55" ht="15" customHeight="1" x14ac:dyDescent="0.25">
      <c r="A158" s="1"/>
      <c r="B158" s="2"/>
      <c r="C158" s="133"/>
      <c r="D158" s="2"/>
      <c r="E158" s="2"/>
      <c r="F158" s="2"/>
      <c r="G158" s="2"/>
      <c r="H158" s="3"/>
      <c r="I158" s="3"/>
      <c r="J158" s="3"/>
      <c r="K158" s="4"/>
      <c r="L158" s="5"/>
      <c r="M158" s="144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</row>
    <row r="159" spans="1:55" ht="15" customHeight="1" x14ac:dyDescent="0.25">
      <c r="A159" s="1"/>
      <c r="B159" s="2"/>
      <c r="C159" s="133"/>
      <c r="D159" s="2"/>
      <c r="E159" s="2"/>
      <c r="F159" s="2"/>
      <c r="G159" s="2"/>
      <c r="H159" s="3"/>
      <c r="I159" s="3"/>
      <c r="J159" s="3"/>
      <c r="K159" s="4"/>
      <c r="L159" s="5"/>
      <c r="M159" s="144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</row>
    <row r="160" spans="1:55" ht="15" customHeight="1" x14ac:dyDescent="0.25">
      <c r="A160" s="1"/>
      <c r="B160" s="2"/>
      <c r="C160" s="133"/>
      <c r="D160" s="2"/>
      <c r="E160" s="2"/>
      <c r="F160" s="2"/>
      <c r="G160" s="2"/>
      <c r="H160" s="3"/>
      <c r="I160" s="3"/>
      <c r="J160" s="3"/>
      <c r="K160" s="4"/>
      <c r="L160" s="5"/>
      <c r="M160" s="144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</row>
    <row r="161" spans="1:55" ht="15" customHeight="1" x14ac:dyDescent="0.25">
      <c r="A161" s="1"/>
      <c r="B161" s="2"/>
      <c r="C161" s="133"/>
      <c r="D161" s="2"/>
      <c r="E161" s="2"/>
      <c r="F161" s="2"/>
      <c r="G161" s="2"/>
      <c r="H161" s="3"/>
      <c r="I161" s="3"/>
      <c r="J161" s="3"/>
      <c r="K161" s="4"/>
      <c r="L161" s="5"/>
      <c r="M161" s="144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</row>
    <row r="162" spans="1:55" ht="15" customHeight="1" x14ac:dyDescent="0.25">
      <c r="A162" s="1"/>
      <c r="B162" s="2"/>
      <c r="C162" s="133"/>
      <c r="D162" s="2"/>
      <c r="E162" s="2"/>
      <c r="F162" s="2"/>
      <c r="G162" s="2"/>
      <c r="H162" s="3"/>
      <c r="I162" s="3"/>
      <c r="J162" s="3"/>
      <c r="K162" s="4"/>
      <c r="L162" s="5"/>
      <c r="M162" s="144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</row>
    <row r="163" spans="1:55" ht="15" customHeight="1" x14ac:dyDescent="0.25">
      <c r="A163" s="1"/>
      <c r="B163" s="2"/>
      <c r="C163" s="133"/>
      <c r="D163" s="2"/>
      <c r="E163" s="2"/>
      <c r="F163" s="2"/>
      <c r="G163" s="2"/>
      <c r="H163" s="3"/>
      <c r="I163" s="3"/>
      <c r="J163" s="3"/>
      <c r="K163" s="4"/>
      <c r="L163" s="5"/>
      <c r="M163" s="144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3"/>
      <c r="AY163" s="143"/>
      <c r="AZ163" s="143"/>
      <c r="BA163" s="143"/>
      <c r="BB163" s="143"/>
      <c r="BC163" s="143"/>
    </row>
    <row r="164" spans="1:55" ht="15" customHeight="1" x14ac:dyDescent="0.25">
      <c r="A164" s="1"/>
      <c r="B164" s="2"/>
      <c r="C164" s="133"/>
      <c r="D164" s="2"/>
      <c r="E164" s="2"/>
      <c r="F164" s="2"/>
      <c r="G164" s="2"/>
      <c r="H164" s="3"/>
      <c r="I164" s="3"/>
      <c r="J164" s="3"/>
      <c r="K164" s="4"/>
      <c r="L164" s="5"/>
      <c r="M164" s="144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</row>
    <row r="165" spans="1:55" ht="15" customHeight="1" x14ac:dyDescent="0.25">
      <c r="A165" s="1"/>
      <c r="B165" s="2"/>
      <c r="C165" s="133"/>
      <c r="D165" s="2"/>
      <c r="E165" s="2"/>
      <c r="F165" s="2"/>
      <c r="G165" s="2"/>
      <c r="H165" s="3"/>
      <c r="I165" s="3"/>
      <c r="J165" s="3"/>
      <c r="K165" s="4"/>
      <c r="L165" s="5"/>
      <c r="M165" s="144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</row>
    <row r="166" spans="1:55" ht="15" customHeight="1" x14ac:dyDescent="0.25">
      <c r="A166" s="1"/>
      <c r="B166" s="2"/>
      <c r="C166" s="133"/>
      <c r="D166" s="2"/>
      <c r="E166" s="2"/>
      <c r="F166" s="2"/>
      <c r="G166" s="2"/>
      <c r="H166" s="3"/>
      <c r="I166" s="3"/>
      <c r="J166" s="3"/>
      <c r="K166" s="4"/>
      <c r="L166" s="5"/>
      <c r="M166" s="144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</row>
    <row r="167" spans="1:55" ht="15" customHeight="1" x14ac:dyDescent="0.25">
      <c r="A167" s="1"/>
      <c r="B167" s="2"/>
      <c r="C167" s="133"/>
      <c r="D167" s="2"/>
      <c r="E167" s="2"/>
      <c r="F167" s="2"/>
      <c r="G167" s="2"/>
      <c r="H167" s="3"/>
      <c r="I167" s="3"/>
      <c r="J167" s="3"/>
      <c r="K167" s="4"/>
      <c r="L167" s="5"/>
      <c r="M167" s="144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</row>
    <row r="168" spans="1:55" ht="15" customHeight="1" x14ac:dyDescent="0.25">
      <c r="A168" s="1"/>
      <c r="B168" s="2"/>
      <c r="C168" s="133"/>
      <c r="D168" s="2"/>
      <c r="E168" s="2"/>
      <c r="F168" s="2"/>
      <c r="G168" s="2"/>
      <c r="H168" s="3"/>
      <c r="I168" s="3"/>
      <c r="J168" s="3"/>
      <c r="K168" s="4"/>
      <c r="L168" s="5"/>
      <c r="M168" s="144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</row>
    <row r="169" spans="1:55" ht="15" customHeight="1" x14ac:dyDescent="0.25">
      <c r="A169" s="1"/>
      <c r="B169" s="2"/>
      <c r="C169" s="133"/>
      <c r="D169" s="2"/>
      <c r="E169" s="2"/>
      <c r="F169" s="2"/>
      <c r="G169" s="2"/>
      <c r="H169" s="3"/>
      <c r="I169" s="3"/>
      <c r="J169" s="3"/>
      <c r="K169" s="4"/>
      <c r="L169" s="5"/>
      <c r="M169" s="144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</row>
    <row r="170" spans="1:55" ht="15" customHeight="1" x14ac:dyDescent="0.25">
      <c r="A170" s="1"/>
      <c r="B170" s="2"/>
      <c r="C170" s="133"/>
      <c r="D170" s="2"/>
      <c r="E170" s="2"/>
      <c r="F170" s="2"/>
      <c r="G170" s="2"/>
      <c r="H170" s="3"/>
      <c r="I170" s="3"/>
      <c r="J170" s="3"/>
      <c r="K170" s="4"/>
      <c r="L170" s="5"/>
      <c r="M170" s="144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</row>
    <row r="171" spans="1:55" ht="15" customHeight="1" x14ac:dyDescent="0.25">
      <c r="A171" s="1"/>
      <c r="B171" s="2"/>
      <c r="C171" s="133"/>
      <c r="D171" s="2"/>
      <c r="E171" s="2"/>
      <c r="F171" s="2"/>
      <c r="G171" s="2"/>
      <c r="H171" s="3"/>
      <c r="I171" s="3"/>
      <c r="J171" s="3"/>
      <c r="K171" s="4"/>
      <c r="L171" s="5"/>
      <c r="M171" s="144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</row>
    <row r="172" spans="1:55" ht="15" customHeight="1" x14ac:dyDescent="0.25">
      <c r="A172" s="1"/>
      <c r="B172" s="2"/>
      <c r="C172" s="133"/>
      <c r="D172" s="2"/>
      <c r="E172" s="2"/>
      <c r="F172" s="2"/>
      <c r="G172" s="2"/>
      <c r="H172" s="3"/>
      <c r="I172" s="3"/>
      <c r="J172" s="3"/>
      <c r="K172" s="4"/>
      <c r="L172" s="5"/>
      <c r="M172" s="144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</row>
    <row r="173" spans="1:55" ht="15" customHeight="1" x14ac:dyDescent="0.25">
      <c r="A173" s="1"/>
      <c r="B173" s="2"/>
      <c r="C173" s="133"/>
      <c r="D173" s="2"/>
      <c r="E173" s="2"/>
      <c r="F173" s="2"/>
      <c r="G173" s="2"/>
      <c r="H173" s="3"/>
      <c r="I173" s="3"/>
      <c r="J173" s="3"/>
      <c r="K173" s="4"/>
      <c r="L173" s="5"/>
      <c r="M173" s="144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</row>
    <row r="174" spans="1:55" ht="15" customHeight="1" x14ac:dyDescent="0.25">
      <c r="A174" s="1"/>
      <c r="B174" s="2"/>
      <c r="C174" s="133"/>
      <c r="D174" s="2"/>
      <c r="E174" s="2"/>
      <c r="F174" s="2"/>
      <c r="G174" s="2"/>
      <c r="H174" s="3"/>
      <c r="I174" s="3"/>
      <c r="J174" s="3"/>
      <c r="K174" s="4"/>
      <c r="L174" s="5"/>
      <c r="M174" s="144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</row>
    <row r="175" spans="1:55" ht="15" customHeight="1" x14ac:dyDescent="0.25">
      <c r="A175" s="1"/>
      <c r="B175" s="2"/>
      <c r="C175" s="133"/>
      <c r="D175" s="2"/>
      <c r="E175" s="2"/>
      <c r="F175" s="2"/>
      <c r="G175" s="2"/>
      <c r="H175" s="3"/>
      <c r="I175" s="3"/>
      <c r="J175" s="3"/>
      <c r="K175" s="4"/>
      <c r="L175" s="5"/>
      <c r="M175" s="144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</row>
    <row r="176" spans="1:55" ht="15" customHeight="1" x14ac:dyDescent="0.25">
      <c r="A176" s="1"/>
      <c r="B176" s="2"/>
      <c r="C176" s="133"/>
      <c r="D176" s="2"/>
      <c r="E176" s="2"/>
      <c r="F176" s="2"/>
      <c r="G176" s="2"/>
      <c r="H176" s="3"/>
      <c r="I176" s="3"/>
      <c r="J176" s="3"/>
      <c r="K176" s="4"/>
      <c r="L176" s="5"/>
      <c r="M176" s="144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</row>
    <row r="177" spans="1:55" ht="15" customHeight="1" x14ac:dyDescent="0.25">
      <c r="A177" s="1"/>
      <c r="B177" s="2"/>
      <c r="C177" s="133"/>
      <c r="D177" s="2"/>
      <c r="E177" s="2"/>
      <c r="F177" s="2"/>
      <c r="G177" s="2"/>
      <c r="H177" s="3"/>
      <c r="I177" s="3"/>
      <c r="J177" s="3"/>
      <c r="K177" s="4"/>
      <c r="L177" s="5"/>
      <c r="M177" s="144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</row>
    <row r="178" spans="1:55" ht="15" customHeight="1" x14ac:dyDescent="0.25">
      <c r="A178" s="1"/>
      <c r="B178" s="2"/>
      <c r="C178" s="133"/>
      <c r="D178" s="2"/>
      <c r="E178" s="2"/>
      <c r="F178" s="2"/>
      <c r="G178" s="2"/>
      <c r="H178" s="3"/>
      <c r="I178" s="3"/>
      <c r="J178" s="3"/>
      <c r="K178" s="4"/>
      <c r="L178" s="5"/>
      <c r="M178" s="144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</row>
    <row r="179" spans="1:55" ht="15" customHeight="1" x14ac:dyDescent="0.25">
      <c r="A179" s="1"/>
      <c r="B179" s="2"/>
      <c r="C179" s="133"/>
      <c r="D179" s="2"/>
      <c r="E179" s="2"/>
      <c r="F179" s="2"/>
      <c r="G179" s="2"/>
      <c r="H179" s="3"/>
      <c r="I179" s="3"/>
      <c r="J179" s="3"/>
      <c r="K179" s="4"/>
      <c r="L179" s="5"/>
      <c r="M179" s="144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</row>
    <row r="180" spans="1:55" ht="15" customHeight="1" x14ac:dyDescent="0.25">
      <c r="A180" s="1"/>
      <c r="B180" s="2"/>
      <c r="C180" s="133"/>
      <c r="D180" s="2"/>
      <c r="E180" s="2"/>
      <c r="F180" s="2"/>
      <c r="G180" s="2"/>
      <c r="H180" s="3"/>
      <c r="I180" s="3"/>
      <c r="J180" s="3"/>
      <c r="K180" s="4"/>
      <c r="L180" s="5"/>
      <c r="M180" s="144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</row>
    <row r="181" spans="1:55" ht="15" customHeight="1" x14ac:dyDescent="0.25">
      <c r="A181" s="1"/>
      <c r="B181" s="2"/>
      <c r="C181" s="133"/>
      <c r="D181" s="2"/>
      <c r="E181" s="2"/>
      <c r="F181" s="2"/>
      <c r="G181" s="2"/>
      <c r="H181" s="3"/>
      <c r="I181" s="3"/>
      <c r="J181" s="3"/>
      <c r="K181" s="4"/>
      <c r="L181" s="5"/>
      <c r="M181" s="144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</row>
    <row r="182" spans="1:55" ht="15" customHeight="1" x14ac:dyDescent="0.25">
      <c r="A182" s="1"/>
      <c r="B182" s="2"/>
      <c r="C182" s="133"/>
      <c r="D182" s="2"/>
      <c r="E182" s="2"/>
      <c r="F182" s="2"/>
      <c r="G182" s="2"/>
      <c r="H182" s="3"/>
      <c r="I182" s="3"/>
      <c r="J182" s="3"/>
      <c r="K182" s="4"/>
      <c r="L182" s="5"/>
      <c r="M182" s="144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</row>
    <row r="183" spans="1:55" ht="15" customHeight="1" x14ac:dyDescent="0.25">
      <c r="A183" s="1"/>
      <c r="B183" s="2"/>
      <c r="C183" s="133"/>
      <c r="D183" s="2"/>
      <c r="E183" s="2"/>
      <c r="F183" s="2"/>
      <c r="G183" s="2"/>
      <c r="H183" s="3"/>
      <c r="I183" s="3"/>
      <c r="J183" s="3"/>
      <c r="K183" s="4"/>
      <c r="L183" s="5"/>
      <c r="M183" s="144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</row>
    <row r="184" spans="1:55" ht="15" customHeight="1" x14ac:dyDescent="0.25">
      <c r="A184" s="1"/>
      <c r="B184" s="2"/>
      <c r="C184" s="133"/>
      <c r="D184" s="2"/>
      <c r="E184" s="2"/>
      <c r="F184" s="2"/>
      <c r="G184" s="2"/>
      <c r="H184" s="3"/>
      <c r="I184" s="3"/>
      <c r="J184" s="3"/>
      <c r="K184" s="4"/>
      <c r="L184" s="5"/>
      <c r="M184" s="144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</row>
    <row r="185" spans="1:55" ht="15" customHeight="1" x14ac:dyDescent="0.25">
      <c r="A185" s="1"/>
      <c r="B185" s="2"/>
      <c r="C185" s="133"/>
      <c r="D185" s="2"/>
      <c r="E185" s="2"/>
      <c r="F185" s="2"/>
      <c r="G185" s="2"/>
      <c r="H185" s="3"/>
      <c r="I185" s="3"/>
      <c r="J185" s="3"/>
      <c r="K185" s="4"/>
      <c r="L185" s="5"/>
      <c r="M185" s="144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</row>
    <row r="186" spans="1:55" ht="15" customHeight="1" x14ac:dyDescent="0.25">
      <c r="A186" s="1"/>
      <c r="B186" s="2"/>
      <c r="C186" s="133"/>
      <c r="D186" s="2"/>
      <c r="E186" s="2"/>
      <c r="F186" s="2"/>
      <c r="G186" s="2"/>
      <c r="H186" s="3"/>
      <c r="I186" s="3"/>
      <c r="J186" s="3"/>
      <c r="K186" s="4"/>
      <c r="L186" s="5"/>
      <c r="M186" s="144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</row>
    <row r="187" spans="1:55" ht="15" customHeight="1" x14ac:dyDescent="0.25">
      <c r="A187" s="1"/>
      <c r="B187" s="2"/>
      <c r="C187" s="133"/>
      <c r="D187" s="2"/>
      <c r="E187" s="2"/>
      <c r="F187" s="2"/>
      <c r="G187" s="2"/>
      <c r="H187" s="3"/>
      <c r="I187" s="3"/>
      <c r="J187" s="3"/>
      <c r="K187" s="4"/>
      <c r="L187" s="5"/>
      <c r="M187" s="144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</row>
    <row r="188" spans="1:55" x14ac:dyDescent="0.25">
      <c r="A188" s="1"/>
      <c r="B188" s="2"/>
      <c r="C188" s="133"/>
      <c r="D188" s="2"/>
      <c r="E188" s="2"/>
      <c r="F188" s="2"/>
      <c r="G188" s="2"/>
      <c r="H188" s="3"/>
      <c r="I188" s="3"/>
      <c r="J188" s="3"/>
      <c r="K188" s="4"/>
      <c r="L188" s="5"/>
      <c r="M188" s="144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</row>
    <row r="189" spans="1:55" x14ac:dyDescent="0.25">
      <c r="A189" s="1"/>
      <c r="B189" s="2"/>
      <c r="C189" s="133"/>
      <c r="D189" s="2"/>
      <c r="E189" s="2"/>
      <c r="F189" s="2"/>
      <c r="G189" s="2"/>
      <c r="H189" s="3"/>
      <c r="I189" s="3"/>
      <c r="J189" s="3"/>
      <c r="K189" s="4"/>
      <c r="L189" s="5"/>
      <c r="M189" s="144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</row>
    <row r="190" spans="1:55" x14ac:dyDescent="0.25">
      <c r="A190" s="1"/>
      <c r="B190" s="2"/>
      <c r="C190" s="133"/>
      <c r="D190" s="2"/>
      <c r="E190" s="2"/>
      <c r="F190" s="2"/>
      <c r="G190" s="2"/>
      <c r="H190" s="3"/>
      <c r="I190" s="3"/>
      <c r="J190" s="3"/>
      <c r="K190" s="4"/>
      <c r="L190" s="5"/>
      <c r="M190" s="144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</row>
    <row r="191" spans="1:55" x14ac:dyDescent="0.25">
      <c r="A191" s="1"/>
      <c r="B191" s="2"/>
      <c r="C191" s="133"/>
      <c r="D191" s="2"/>
      <c r="E191" s="2"/>
      <c r="F191" s="2"/>
      <c r="G191" s="2"/>
      <c r="H191" s="3"/>
      <c r="I191" s="3"/>
      <c r="J191" s="3"/>
      <c r="K191" s="4"/>
      <c r="L191" s="5"/>
      <c r="M191" s="144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</row>
    <row r="192" spans="1:55" x14ac:dyDescent="0.25">
      <c r="A192" s="1"/>
      <c r="B192" s="2"/>
      <c r="C192" s="133"/>
      <c r="D192" s="2"/>
      <c r="E192" s="2"/>
      <c r="F192" s="2"/>
      <c r="G192" s="2"/>
      <c r="H192" s="3"/>
      <c r="I192" s="3"/>
      <c r="J192" s="3"/>
      <c r="K192" s="4"/>
      <c r="L192" s="5"/>
      <c r="M192" s="144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</row>
    <row r="193" spans="1:55" x14ac:dyDescent="0.25">
      <c r="A193" s="1"/>
      <c r="B193" s="2"/>
      <c r="C193" s="133"/>
      <c r="D193" s="2"/>
      <c r="E193" s="2"/>
      <c r="F193" s="2"/>
      <c r="G193" s="2"/>
      <c r="H193" s="3"/>
      <c r="I193" s="3"/>
      <c r="J193" s="3"/>
      <c r="K193" s="4"/>
      <c r="L193" s="5"/>
      <c r="M193" s="144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</row>
    <row r="194" spans="1:55" x14ac:dyDescent="0.25">
      <c r="A194" s="1"/>
      <c r="B194" s="2"/>
      <c r="C194" s="133"/>
      <c r="D194" s="2"/>
      <c r="E194" s="2"/>
      <c r="F194" s="2"/>
      <c r="G194" s="2"/>
      <c r="H194" s="3"/>
      <c r="I194" s="3"/>
      <c r="J194" s="3"/>
      <c r="K194" s="4"/>
      <c r="L194" s="5"/>
      <c r="M194" s="144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</row>
    <row r="195" spans="1:55" x14ac:dyDescent="0.25">
      <c r="A195" s="1"/>
      <c r="B195" s="2"/>
      <c r="C195" s="133"/>
      <c r="D195" s="2"/>
      <c r="E195" s="2"/>
      <c r="F195" s="2"/>
      <c r="G195" s="2"/>
      <c r="H195" s="3"/>
      <c r="I195" s="3"/>
      <c r="J195" s="3"/>
      <c r="K195" s="4"/>
      <c r="L195" s="5"/>
      <c r="M195" s="144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</row>
    <row r="196" spans="1:55" x14ac:dyDescent="0.25">
      <c r="A196" s="1"/>
      <c r="B196" s="2"/>
      <c r="C196" s="133"/>
      <c r="D196" s="2"/>
      <c r="E196" s="2"/>
      <c r="F196" s="2"/>
      <c r="G196" s="2"/>
      <c r="H196" s="3"/>
      <c r="I196" s="3"/>
      <c r="J196" s="3"/>
      <c r="K196" s="4"/>
      <c r="L196" s="5"/>
      <c r="M196" s="144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</row>
    <row r="197" spans="1:55" x14ac:dyDescent="0.25">
      <c r="A197" s="1"/>
      <c r="B197" s="2"/>
      <c r="C197" s="133"/>
      <c r="D197" s="2"/>
      <c r="E197" s="2"/>
      <c r="F197" s="2"/>
      <c r="G197" s="2"/>
      <c r="H197" s="3"/>
      <c r="I197" s="3"/>
      <c r="J197" s="3"/>
      <c r="K197" s="4"/>
      <c r="L197" s="5"/>
      <c r="M197" s="144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</row>
    <row r="198" spans="1:55" x14ac:dyDescent="0.25">
      <c r="A198" s="1"/>
      <c r="B198" s="2"/>
      <c r="C198" s="133"/>
      <c r="D198" s="2"/>
      <c r="E198" s="2"/>
      <c r="F198" s="2"/>
      <c r="G198" s="2"/>
      <c r="H198" s="3"/>
      <c r="I198" s="3"/>
      <c r="J198" s="3"/>
      <c r="K198" s="4"/>
      <c r="L198" s="5"/>
      <c r="M198" s="144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</row>
    <row r="199" spans="1:55" x14ac:dyDescent="0.25">
      <c r="A199" s="1"/>
      <c r="B199" s="2"/>
      <c r="C199" s="133"/>
      <c r="D199" s="2"/>
      <c r="E199" s="2"/>
      <c r="F199" s="2"/>
      <c r="G199" s="2"/>
      <c r="H199" s="3"/>
      <c r="I199" s="3"/>
      <c r="J199" s="3"/>
      <c r="K199" s="4"/>
      <c r="L199" s="5"/>
      <c r="M199" s="144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</row>
    <row r="200" spans="1:55" ht="15.75" thickBot="1" x14ac:dyDescent="0.3">
      <c r="A200" s="11"/>
      <c r="B200" s="12"/>
      <c r="C200" s="134"/>
      <c r="D200" s="12"/>
      <c r="E200" s="12"/>
      <c r="F200" s="12"/>
      <c r="G200" s="12"/>
      <c r="H200" s="13"/>
      <c r="I200" s="13"/>
      <c r="J200" s="13"/>
      <c r="K200" s="12"/>
      <c r="L200" s="14"/>
      <c r="M200" s="152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</row>
    <row r="201" spans="1:55" x14ac:dyDescent="0.25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</row>
    <row r="202" spans="1:55" x14ac:dyDescent="0.25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</row>
    <row r="203" spans="1:55" x14ac:dyDescent="0.25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</row>
    <row r="204" spans="1:55" x14ac:dyDescent="0.25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</row>
    <row r="205" spans="1:55" x14ac:dyDescent="0.2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</row>
    <row r="206" spans="1:55" x14ac:dyDescent="0.25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</row>
    <row r="207" spans="1:55" x14ac:dyDescent="0.25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</row>
    <row r="208" spans="1:55" x14ac:dyDescent="0.25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</row>
    <row r="209" spans="1:55" x14ac:dyDescent="0.25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</row>
    <row r="210" spans="1:55" x14ac:dyDescent="0.25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</row>
    <row r="211" spans="1:55" x14ac:dyDescent="0.25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</row>
    <row r="212" spans="1:55" x14ac:dyDescent="0.25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</row>
    <row r="213" spans="1:55" x14ac:dyDescent="0.25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3"/>
      <c r="AY213" s="143"/>
      <c r="AZ213" s="143"/>
      <c r="BA213" s="143"/>
      <c r="BB213" s="143"/>
      <c r="BC213" s="143"/>
    </row>
    <row r="214" spans="1:55" x14ac:dyDescent="0.25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</row>
    <row r="215" spans="1:55" x14ac:dyDescent="0.2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</row>
    <row r="216" spans="1:55" x14ac:dyDescent="0.25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</row>
    <row r="217" spans="1:55" x14ac:dyDescent="0.25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</row>
    <row r="218" spans="1:55" x14ac:dyDescent="0.25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</row>
    <row r="219" spans="1:55" x14ac:dyDescent="0.25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</row>
    <row r="220" spans="1:55" x14ac:dyDescent="0.25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5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</row>
    <row r="221" spans="1:55" x14ac:dyDescent="0.25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5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</row>
    <row r="222" spans="1:55" x14ac:dyDescent="0.25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</row>
    <row r="223" spans="1:55" x14ac:dyDescent="0.25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</row>
    <row r="224" spans="1:55" x14ac:dyDescent="0.25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</row>
    <row r="225" spans="1:55" x14ac:dyDescent="0.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</row>
    <row r="226" spans="1:55" x14ac:dyDescent="0.25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</row>
    <row r="227" spans="1:55" x14ac:dyDescent="0.25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</row>
    <row r="228" spans="1:55" x14ac:dyDescent="0.25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</row>
    <row r="229" spans="1:55" x14ac:dyDescent="0.25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</row>
    <row r="230" spans="1:55" x14ac:dyDescent="0.25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</row>
    <row r="231" spans="1:55" x14ac:dyDescent="0.25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</row>
    <row r="232" spans="1:55" x14ac:dyDescent="0.25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3"/>
      <c r="AY232" s="143"/>
      <c r="AZ232" s="143"/>
      <c r="BA232" s="143"/>
      <c r="BB232" s="143"/>
      <c r="BC232" s="143"/>
    </row>
    <row r="233" spans="1:55" x14ac:dyDescent="0.25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</row>
    <row r="234" spans="1:55" x14ac:dyDescent="0.25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3"/>
      <c r="AY234" s="143"/>
      <c r="AZ234" s="143"/>
      <c r="BA234" s="143"/>
      <c r="BB234" s="143"/>
      <c r="BC234" s="143"/>
    </row>
    <row r="235" spans="1:55" x14ac:dyDescent="0.2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3"/>
      <c r="AY235" s="143"/>
      <c r="AZ235" s="143"/>
      <c r="BA235" s="143"/>
      <c r="BB235" s="143"/>
      <c r="BC235" s="143"/>
    </row>
    <row r="236" spans="1:55" x14ac:dyDescent="0.25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</row>
    <row r="237" spans="1:55" x14ac:dyDescent="0.25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</row>
    <row r="238" spans="1:55" x14ac:dyDescent="0.25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</row>
    <row r="239" spans="1:55" x14ac:dyDescent="0.25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</row>
    <row r="240" spans="1:55" x14ac:dyDescent="0.25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</row>
    <row r="241" spans="1:55" x14ac:dyDescent="0.25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</row>
    <row r="242" spans="1:55" x14ac:dyDescent="0.25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</row>
    <row r="243" spans="1:55" x14ac:dyDescent="0.25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</row>
    <row r="244" spans="1:55" x14ac:dyDescent="0.25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</row>
    <row r="245" spans="1:55" x14ac:dyDescent="0.2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</row>
    <row r="246" spans="1:55" x14ac:dyDescent="0.25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</row>
    <row r="247" spans="1:55" x14ac:dyDescent="0.25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</row>
    <row r="248" spans="1:55" x14ac:dyDescent="0.25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</row>
    <row r="249" spans="1:55" x14ac:dyDescent="0.25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</row>
    <row r="250" spans="1:55" x14ac:dyDescent="0.25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</row>
    <row r="251" spans="1:55" x14ac:dyDescent="0.25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</row>
    <row r="252" spans="1:55" x14ac:dyDescent="0.25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</row>
    <row r="253" spans="1:55" x14ac:dyDescent="0.25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</row>
    <row r="254" spans="1:55" x14ac:dyDescent="0.25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</row>
    <row r="255" spans="1:55" x14ac:dyDescent="0.2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</row>
    <row r="256" spans="1:55" x14ac:dyDescent="0.25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</row>
    <row r="257" spans="1:55" x14ac:dyDescent="0.25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</row>
    <row r="258" spans="1:55" x14ac:dyDescent="0.25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</row>
    <row r="259" spans="1:55" x14ac:dyDescent="0.25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</row>
    <row r="260" spans="1:55" x14ac:dyDescent="0.25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</row>
    <row r="261" spans="1:55" x14ac:dyDescent="0.25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</row>
    <row r="262" spans="1:55" x14ac:dyDescent="0.25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</row>
    <row r="263" spans="1:55" x14ac:dyDescent="0.25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</row>
    <row r="264" spans="1:55" x14ac:dyDescent="0.25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</row>
    <row r="265" spans="1:55" x14ac:dyDescent="0.2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</row>
    <row r="266" spans="1:55" x14ac:dyDescent="0.25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</row>
    <row r="267" spans="1:55" x14ac:dyDescent="0.25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</row>
    <row r="268" spans="1:55" x14ac:dyDescent="0.25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</row>
    <row r="269" spans="1:55" x14ac:dyDescent="0.25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</row>
    <row r="270" spans="1:55" x14ac:dyDescent="0.25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</row>
    <row r="271" spans="1:55" x14ac:dyDescent="0.25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</row>
    <row r="272" spans="1:55" x14ac:dyDescent="0.25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</row>
    <row r="273" spans="1:55" x14ac:dyDescent="0.25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</row>
    <row r="274" spans="1:55" x14ac:dyDescent="0.25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</row>
    <row r="275" spans="1:55" x14ac:dyDescent="0.2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</row>
    <row r="276" spans="1:55" x14ac:dyDescent="0.25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</row>
    <row r="277" spans="1:55" x14ac:dyDescent="0.25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</row>
    <row r="278" spans="1:55" x14ac:dyDescent="0.25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</row>
    <row r="279" spans="1:55" x14ac:dyDescent="0.25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</row>
    <row r="280" spans="1:55" x14ac:dyDescent="0.25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</row>
    <row r="281" spans="1:55" x14ac:dyDescent="0.25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</row>
    <row r="282" spans="1:55" x14ac:dyDescent="0.25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</row>
    <row r="283" spans="1:55" x14ac:dyDescent="0.25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</row>
    <row r="284" spans="1:55" x14ac:dyDescent="0.25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</row>
    <row r="285" spans="1:55" x14ac:dyDescent="0.2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</row>
    <row r="286" spans="1:55" x14ac:dyDescent="0.25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</row>
    <row r="287" spans="1:55" x14ac:dyDescent="0.25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</row>
    <row r="288" spans="1:55" x14ac:dyDescent="0.25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</row>
    <row r="289" spans="1:55" x14ac:dyDescent="0.25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</row>
    <row r="290" spans="1:55" x14ac:dyDescent="0.25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</row>
    <row r="291" spans="1:55" x14ac:dyDescent="0.25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</row>
    <row r="292" spans="1:55" x14ac:dyDescent="0.25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</row>
    <row r="293" spans="1:55" x14ac:dyDescent="0.25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</row>
    <row r="294" spans="1:55" x14ac:dyDescent="0.25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</row>
    <row r="295" spans="1:55" x14ac:dyDescent="0.2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</row>
    <row r="296" spans="1:55" x14ac:dyDescent="0.25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</row>
    <row r="297" spans="1:55" x14ac:dyDescent="0.25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</row>
    <row r="298" spans="1:55" x14ac:dyDescent="0.25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</row>
    <row r="299" spans="1:55" x14ac:dyDescent="0.25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</row>
    <row r="300" spans="1:55" x14ac:dyDescent="0.25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</row>
    <row r="301" spans="1:55" x14ac:dyDescent="0.25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</row>
    <row r="302" spans="1:55" x14ac:dyDescent="0.25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</row>
    <row r="303" spans="1:55" x14ac:dyDescent="0.25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</row>
    <row r="304" spans="1:55" x14ac:dyDescent="0.25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</row>
    <row r="305" spans="1:55" x14ac:dyDescent="0.2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</row>
    <row r="306" spans="1:55" x14ac:dyDescent="0.25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</row>
    <row r="307" spans="1:55" x14ac:dyDescent="0.25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</row>
    <row r="308" spans="1:55" x14ac:dyDescent="0.25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</row>
    <row r="309" spans="1:55" x14ac:dyDescent="0.25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</row>
    <row r="310" spans="1:55" x14ac:dyDescent="0.25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</row>
    <row r="311" spans="1:55" x14ac:dyDescent="0.25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</row>
    <row r="312" spans="1:55" x14ac:dyDescent="0.25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</row>
    <row r="313" spans="1:55" x14ac:dyDescent="0.25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</row>
    <row r="314" spans="1:55" x14ac:dyDescent="0.25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</row>
    <row r="315" spans="1:55" x14ac:dyDescent="0.2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</row>
    <row r="316" spans="1:55" x14ac:dyDescent="0.25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</row>
    <row r="317" spans="1:55" x14ac:dyDescent="0.25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</row>
    <row r="318" spans="1:55" x14ac:dyDescent="0.25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</row>
    <row r="319" spans="1:55" x14ac:dyDescent="0.25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</row>
    <row r="320" spans="1:55" x14ac:dyDescent="0.25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</row>
    <row r="321" spans="1:55" x14ac:dyDescent="0.25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</row>
    <row r="322" spans="1:55" x14ac:dyDescent="0.25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</row>
    <row r="323" spans="1:55" x14ac:dyDescent="0.25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</row>
    <row r="324" spans="1:55" x14ac:dyDescent="0.25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</row>
    <row r="325" spans="1:55" x14ac:dyDescent="0.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</row>
    <row r="326" spans="1:55" x14ac:dyDescent="0.25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</row>
    <row r="327" spans="1:55" x14ac:dyDescent="0.25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</row>
    <row r="328" spans="1:55" x14ac:dyDescent="0.25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</row>
    <row r="329" spans="1:55" x14ac:dyDescent="0.25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</row>
    <row r="330" spans="1:55" x14ac:dyDescent="0.25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</row>
    <row r="331" spans="1:55" x14ac:dyDescent="0.25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</row>
    <row r="332" spans="1:55" x14ac:dyDescent="0.25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</row>
    <row r="333" spans="1:55" x14ac:dyDescent="0.25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</row>
    <row r="334" spans="1:55" x14ac:dyDescent="0.25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</row>
    <row r="335" spans="1:55" x14ac:dyDescent="0.2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</row>
    <row r="336" spans="1:55" x14ac:dyDescent="0.25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</row>
    <row r="337" spans="1:55" x14ac:dyDescent="0.25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</row>
    <row r="338" spans="1:55" x14ac:dyDescent="0.25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</row>
    <row r="339" spans="1:55" x14ac:dyDescent="0.25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</row>
    <row r="340" spans="1:55" x14ac:dyDescent="0.25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</row>
    <row r="341" spans="1:55" x14ac:dyDescent="0.25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</row>
    <row r="342" spans="1:55" x14ac:dyDescent="0.25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</row>
    <row r="343" spans="1:55" x14ac:dyDescent="0.25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</row>
    <row r="344" spans="1:55" x14ac:dyDescent="0.25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</row>
    <row r="345" spans="1:55" x14ac:dyDescent="0.2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</row>
    <row r="346" spans="1:55" x14ac:dyDescent="0.25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</row>
    <row r="347" spans="1:55" x14ac:dyDescent="0.25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</row>
    <row r="348" spans="1:55" x14ac:dyDescent="0.25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</row>
    <row r="349" spans="1:55" x14ac:dyDescent="0.25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</row>
    <row r="350" spans="1:55" x14ac:dyDescent="0.25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</row>
    <row r="351" spans="1:55" x14ac:dyDescent="0.25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</row>
    <row r="352" spans="1:55" x14ac:dyDescent="0.25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</row>
    <row r="353" spans="1:55" x14ac:dyDescent="0.25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</row>
    <row r="354" spans="1:55" x14ac:dyDescent="0.25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</row>
    <row r="355" spans="1:55" x14ac:dyDescent="0.2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</row>
    <row r="356" spans="1:55" x14ac:dyDescent="0.25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</row>
    <row r="357" spans="1:55" x14ac:dyDescent="0.25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</row>
    <row r="358" spans="1:55" x14ac:dyDescent="0.25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</row>
    <row r="359" spans="1:55" x14ac:dyDescent="0.25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</row>
    <row r="360" spans="1:55" x14ac:dyDescent="0.25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</row>
    <row r="361" spans="1:55" x14ac:dyDescent="0.25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</row>
    <row r="362" spans="1:55" x14ac:dyDescent="0.25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</row>
    <row r="363" spans="1:55" x14ac:dyDescent="0.25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</row>
    <row r="364" spans="1:55" x14ac:dyDescent="0.25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</row>
    <row r="365" spans="1:55" x14ac:dyDescent="0.2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</row>
    <row r="366" spans="1:55" x14ac:dyDescent="0.25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</row>
    <row r="367" spans="1:55" x14ac:dyDescent="0.25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</row>
    <row r="368" spans="1:55" x14ac:dyDescent="0.25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</row>
    <row r="369" spans="1:55" x14ac:dyDescent="0.25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</row>
    <row r="370" spans="1:55" x14ac:dyDescent="0.25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</row>
    <row r="371" spans="1:55" x14ac:dyDescent="0.25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</row>
    <row r="372" spans="1:55" x14ac:dyDescent="0.25">
      <c r="D372"/>
    </row>
    <row r="373" spans="1:55" x14ac:dyDescent="0.25">
      <c r="D373"/>
    </row>
    <row r="374" spans="1:55" x14ac:dyDescent="0.25">
      <c r="D374"/>
    </row>
    <row r="375" spans="1:55" x14ac:dyDescent="0.25">
      <c r="D375"/>
    </row>
    <row r="376" spans="1:55" x14ac:dyDescent="0.25">
      <c r="D376"/>
    </row>
    <row r="377" spans="1:55" x14ac:dyDescent="0.25">
      <c r="D377"/>
    </row>
    <row r="378" spans="1:55" x14ac:dyDescent="0.25">
      <c r="D378"/>
    </row>
    <row r="379" spans="1:55" x14ac:dyDescent="0.25">
      <c r="D379"/>
    </row>
    <row r="380" spans="1:55" x14ac:dyDescent="0.25">
      <c r="D380"/>
    </row>
    <row r="381" spans="1:55" x14ac:dyDescent="0.25">
      <c r="D381"/>
    </row>
    <row r="382" spans="1:55" x14ac:dyDescent="0.25">
      <c r="D382"/>
    </row>
    <row r="383" spans="1:55" x14ac:dyDescent="0.25">
      <c r="D383"/>
    </row>
    <row r="384" spans="1:5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</sheetData>
  <sheetProtection sheet="1" formatCells="0" selectLockedCells="1" sort="0" autoFilter="0" pivotTables="0"/>
  <autoFilter ref="A1:L2" xr:uid="{33F7B5EE-3B25-45C0-9521-5CD77B61364E}"/>
  <mergeCells count="22">
    <mergeCell ref="Q47:R47"/>
    <mergeCell ref="N51:O51"/>
    <mergeCell ref="N30:O30"/>
    <mergeCell ref="N32:R32"/>
    <mergeCell ref="S32:V32"/>
    <mergeCell ref="N33:P33"/>
    <mergeCell ref="N41:O41"/>
    <mergeCell ref="N42:P42"/>
    <mergeCell ref="T28:U29"/>
    <mergeCell ref="N29:O29"/>
    <mergeCell ref="Q29:R29"/>
    <mergeCell ref="S1:V1"/>
    <mergeCell ref="S7:S8"/>
    <mergeCell ref="N10:P10"/>
    <mergeCell ref="Q10:U10"/>
    <mergeCell ref="N11:P11"/>
    <mergeCell ref="Q11:S11"/>
    <mergeCell ref="N19:O19"/>
    <mergeCell ref="Q19:R19"/>
    <mergeCell ref="N20:P20"/>
    <mergeCell ref="Q20:S20"/>
    <mergeCell ref="T27:U27"/>
  </mergeCells>
  <conditionalFormatting sqref="A2:L200">
    <cfRule type="expression" dxfId="5" priority="3">
      <formula>$C2="Outra"</formula>
    </cfRule>
    <cfRule type="expression" dxfId="4" priority="4">
      <formula>$C2="Website"</formula>
    </cfRule>
    <cfRule type="expression" dxfId="3" priority="5">
      <formula>$C2="CitySightSeeing"</formula>
    </cfRule>
    <cfRule type="expression" dxfId="2" priority="6">
      <formula>$C2="Where To"</formula>
    </cfRule>
  </conditionalFormatting>
  <conditionalFormatting sqref="K2:K200">
    <cfRule type="containsText" dxfId="1" priority="1" operator="containsText" text="Não">
      <formula>NOT(ISERROR(SEARCH("Não",K2)))</formula>
    </cfRule>
    <cfRule type="containsText" dxfId="0" priority="2" operator="containsText" text="Sim">
      <formula>NOT(ISERROR(SEARCH("Sim",K2)))</formula>
    </cfRule>
  </conditionalFormatting>
  <dataValidations count="4">
    <dataValidation type="list" allowBlank="1" showInputMessage="1" showErrorMessage="1" sqref="K2:L200" xr:uid="{A2BB3FE6-FEEA-4FA6-9C20-85718E815ABD}">
      <formula1>$W$2:$W$3</formula1>
    </dataValidation>
    <dataValidation type="list" allowBlank="1" showInputMessage="1" showErrorMessage="1" sqref="J2:J200 V34:V51" xr:uid="{1BFB1C5D-31C0-4307-80CF-4A802D8884AD}">
      <formula1>$Y$2:$Y$11</formula1>
    </dataValidation>
    <dataValidation type="list" allowBlank="1" showInputMessage="1" showErrorMessage="1" sqref="S34:S51 A2:A200" xr:uid="{2DE41F1D-D52A-42BE-A8A4-E08DB2CCFEA0}">
      <formula1>$X$2:$X$32</formula1>
    </dataValidation>
    <dataValidation type="list" allowBlank="1" showInputMessage="1" showErrorMessage="1" sqref="C2:C200" xr:uid="{D419D616-EB09-4FA0-A4D4-DDD1B6AC3F02}">
      <formula1>$N$2:$N$7</formula1>
    </dataValidation>
  </dataValidations>
  <pageMargins left="0.7" right="0.7" top="0.75" bottom="0.75" header="0.3" footer="0.3"/>
  <pageSetup scale="2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Ago.25</vt:lpstr>
      <vt:lpstr>Set.25</vt:lpstr>
      <vt:lpstr>Out.25</vt:lpstr>
      <vt:lpstr>Nov.25</vt:lpstr>
      <vt:lpstr>Dez.25</vt:lpstr>
      <vt:lpstr>Jan.26</vt:lpstr>
      <vt:lpstr>Fev. 26</vt:lpstr>
      <vt:lpstr>Mar.26</vt:lpstr>
      <vt:lpstr>Abr. 26</vt:lpstr>
      <vt:lpstr>Mai.26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ouro</dc:creator>
  <cp:lastModifiedBy>Tejo :: My Story Hotels ::</cp:lastModifiedBy>
  <cp:lastPrinted>2025-08-13T17:04:05Z</cp:lastPrinted>
  <dcterms:created xsi:type="dcterms:W3CDTF">2025-08-13T14:18:10Z</dcterms:created>
  <dcterms:modified xsi:type="dcterms:W3CDTF">2025-11-08T22:38:03Z</dcterms:modified>
</cp:coreProperties>
</file>